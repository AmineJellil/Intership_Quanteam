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smai\Downloads\"/>
    </mc:Choice>
  </mc:AlternateContent>
  <xr:revisionPtr revIDLastSave="0" documentId="13_ncr:1_{1F4DF53D-2FCC-4638-BF0A-0131924307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ORTFOLIO" sheetId="1" r:id="rId1"/>
    <sheet name="MARKET_DATA" sheetId="2" r:id="rId2"/>
    <sheet name="PRICING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" l="1"/>
  <c r="E5" i="4"/>
  <c r="F39" i="3"/>
  <c r="E39" i="3"/>
  <c r="D39" i="3"/>
  <c r="C39" i="3"/>
  <c r="B39" i="3"/>
  <c r="F38" i="3"/>
  <c r="E38" i="3"/>
  <c r="D38" i="3"/>
  <c r="C38" i="3"/>
  <c r="B38" i="3"/>
  <c r="F37" i="3"/>
  <c r="E37" i="3"/>
  <c r="D37" i="3"/>
  <c r="C37" i="3"/>
  <c r="B37" i="3"/>
  <c r="I31" i="3"/>
  <c r="H31" i="3"/>
  <c r="G31" i="3"/>
  <c r="F31" i="3"/>
  <c r="E31" i="3"/>
  <c r="D31" i="3"/>
  <c r="L31" i="3" s="1"/>
  <c r="M31" i="3" s="1"/>
  <c r="C31" i="3"/>
  <c r="L30" i="3"/>
  <c r="M30" i="3" s="1"/>
  <c r="I30" i="3"/>
  <c r="H30" i="3"/>
  <c r="G30" i="3"/>
  <c r="F30" i="3"/>
  <c r="E30" i="3"/>
  <c r="D30" i="3"/>
  <c r="C30" i="3"/>
  <c r="I29" i="3"/>
  <c r="H29" i="3"/>
  <c r="G29" i="3"/>
  <c r="F29" i="3"/>
  <c r="E29" i="3"/>
  <c r="D29" i="3"/>
  <c r="C29" i="3"/>
  <c r="F23" i="3"/>
  <c r="E23" i="3"/>
  <c r="B23" i="3"/>
  <c r="F22" i="3"/>
  <c r="E22" i="3"/>
  <c r="B22" i="3"/>
  <c r="F21" i="3"/>
  <c r="E21" i="3"/>
  <c r="B21" i="3"/>
  <c r="F20" i="3"/>
  <c r="E20" i="3"/>
  <c r="B20" i="3"/>
  <c r="E22" i="2"/>
  <c r="F22" i="2" s="1"/>
  <c r="E21" i="2"/>
  <c r="F21" i="2" s="1"/>
  <c r="E20" i="2"/>
  <c r="F20" i="2" s="1"/>
  <c r="E19" i="2"/>
  <c r="F19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B7" i="2"/>
  <c r="B6" i="2"/>
  <c r="B5" i="2"/>
  <c r="C31" i="2" s="1"/>
  <c r="C34" i="2" l="1"/>
  <c r="F34" i="2" s="1"/>
  <c r="C35" i="2"/>
  <c r="C41" i="2"/>
  <c r="C44" i="2"/>
  <c r="I44" i="2" s="1"/>
  <c r="C36" i="2"/>
  <c r="F36" i="2" s="1"/>
  <c r="C42" i="2"/>
  <c r="C46" i="2"/>
  <c r="F46" i="2" s="1"/>
  <c r="C38" i="2"/>
  <c r="F38" i="2" s="1"/>
  <c r="J38" i="2" s="1"/>
  <c r="C30" i="2"/>
  <c r="J30" i="2" s="1"/>
  <c r="C32" i="2"/>
  <c r="I32" i="2" s="1"/>
  <c r="L29" i="3"/>
  <c r="M29" i="3" s="1"/>
  <c r="C37" i="2"/>
  <c r="C39" i="2"/>
  <c r="F39" i="2" s="1"/>
  <c r="H39" i="2" s="1"/>
  <c r="C40" i="2"/>
  <c r="C33" i="2"/>
  <c r="F33" i="2" s="1"/>
  <c r="C28" i="2"/>
  <c r="I28" i="2" s="1"/>
  <c r="I36" i="2"/>
  <c r="I41" i="2"/>
  <c r="F31" i="2"/>
  <c r="G31" i="2" s="1"/>
  <c r="I31" i="2"/>
  <c r="H31" i="2"/>
  <c r="F42" i="2"/>
  <c r="H42" i="2" s="1"/>
  <c r="H44" i="2"/>
  <c r="F30" i="2"/>
  <c r="H30" i="2" s="1"/>
  <c r="G30" i="2"/>
  <c r="J35" i="2"/>
  <c r="F32" i="2"/>
  <c r="H32" i="2" s="1"/>
  <c r="K32" i="2" s="1"/>
  <c r="C43" i="2"/>
  <c r="H46" i="2"/>
  <c r="G42" i="2"/>
  <c r="F44" i="2"/>
  <c r="G44" i="2" s="1"/>
  <c r="I38" i="2"/>
  <c r="F35" i="2"/>
  <c r="I35" i="2" s="1"/>
  <c r="F28" i="2"/>
  <c r="G28" i="2" s="1"/>
  <c r="C29" i="2"/>
  <c r="C45" i="2"/>
  <c r="J46" i="2"/>
  <c r="G38" i="2"/>
  <c r="H38" i="2"/>
  <c r="F37" i="2"/>
  <c r="G37" i="2" s="1"/>
  <c r="G32" i="2"/>
  <c r="F41" i="2"/>
  <c r="J41" i="2" s="1"/>
  <c r="H41" i="2"/>
  <c r="I33" i="2" l="1"/>
  <c r="H33" i="2"/>
  <c r="H35" i="2"/>
  <c r="K35" i="2" s="1"/>
  <c r="D35" i="2" s="1"/>
  <c r="E35" i="2" s="1"/>
  <c r="G39" i="3" s="1"/>
  <c r="K42" i="2"/>
  <c r="J32" i="2"/>
  <c r="D32" i="2" s="1"/>
  <c r="E32" i="2" s="1"/>
  <c r="G37" i="3" s="1"/>
  <c r="K30" i="2"/>
  <c r="H28" i="2"/>
  <c r="K28" i="2" s="1"/>
  <c r="D28" i="2" s="1"/>
  <c r="E28" i="2" s="1"/>
  <c r="K31" i="3" s="1"/>
  <c r="I39" i="2"/>
  <c r="F40" i="2"/>
  <c r="I40" i="2" s="1"/>
  <c r="J28" i="2"/>
  <c r="G46" i="2"/>
  <c r="K46" i="2" s="1"/>
  <c r="D46" i="2" s="1"/>
  <c r="H36" i="2"/>
  <c r="K36" i="2" s="1"/>
  <c r="D36" i="2" s="1"/>
  <c r="E36" i="2" s="1"/>
  <c r="G38" i="3" s="1"/>
  <c r="I46" i="2"/>
  <c r="J36" i="2"/>
  <c r="G35" i="2"/>
  <c r="G36" i="2"/>
  <c r="G34" i="2"/>
  <c r="J34" i="2"/>
  <c r="I34" i="2"/>
  <c r="J33" i="2"/>
  <c r="J39" i="2"/>
  <c r="F43" i="2"/>
  <c r="H43" i="2" s="1"/>
  <c r="K44" i="2"/>
  <c r="F29" i="2"/>
  <c r="H29" i="2" s="1"/>
  <c r="G29" i="2"/>
  <c r="K31" i="2"/>
  <c r="D31" i="2" s="1"/>
  <c r="E31" i="2" s="1"/>
  <c r="K30" i="3" s="1"/>
  <c r="G39" i="2"/>
  <c r="K39" i="2" s="1"/>
  <c r="I30" i="2"/>
  <c r="I37" i="2"/>
  <c r="I42" i="2"/>
  <c r="J31" i="2"/>
  <c r="K38" i="2"/>
  <c r="D38" i="2" s="1"/>
  <c r="E38" i="2" s="1"/>
  <c r="H39" i="3" s="1"/>
  <c r="J44" i="2"/>
  <c r="G33" i="2"/>
  <c r="K33" i="2" s="1"/>
  <c r="D33" i="2" s="1"/>
  <c r="H34" i="2"/>
  <c r="J37" i="2"/>
  <c r="H37" i="2"/>
  <c r="K37" i="2" s="1"/>
  <c r="D37" i="2" s="1"/>
  <c r="E37" i="2" s="1"/>
  <c r="H38" i="3" s="1"/>
  <c r="K41" i="2"/>
  <c r="D41" i="2" s="1"/>
  <c r="J42" i="2"/>
  <c r="D42" i="2" s="1"/>
  <c r="I45" i="2"/>
  <c r="F45" i="2"/>
  <c r="H45" i="2" s="1"/>
  <c r="G41" i="2"/>
  <c r="H40" i="2" l="1"/>
  <c r="K40" i="2" s="1"/>
  <c r="I38" i="3"/>
  <c r="J38" i="3" s="1"/>
  <c r="G40" i="2"/>
  <c r="K29" i="2"/>
  <c r="J40" i="2"/>
  <c r="D30" i="2"/>
  <c r="E30" i="2" s="1"/>
  <c r="K29" i="3" s="1"/>
  <c r="J29" i="2"/>
  <c r="D39" i="2"/>
  <c r="E6" i="3"/>
  <c r="F6" i="3" s="1"/>
  <c r="C20" i="3" s="1"/>
  <c r="D20" i="3" s="1"/>
  <c r="E39" i="2"/>
  <c r="E10" i="3"/>
  <c r="F10" i="3" s="1"/>
  <c r="E33" i="2"/>
  <c r="E11" i="3"/>
  <c r="F11" i="3" s="1"/>
  <c r="E42" i="2"/>
  <c r="K43" i="2"/>
  <c r="E15" i="3"/>
  <c r="F15" i="3" s="1"/>
  <c r="E46" i="2"/>
  <c r="I29" i="2"/>
  <c r="J43" i="2"/>
  <c r="G45" i="2"/>
  <c r="K45" i="2" s="1"/>
  <c r="E9" i="3"/>
  <c r="F9" i="3" s="1"/>
  <c r="E41" i="2"/>
  <c r="I39" i="3"/>
  <c r="J39" i="3" s="1"/>
  <c r="G43" i="2"/>
  <c r="K34" i="2"/>
  <c r="D34" i="2" s="1"/>
  <c r="E34" i="2" s="1"/>
  <c r="H37" i="3" s="1"/>
  <c r="I37" i="3" s="1"/>
  <c r="J37" i="3" s="1"/>
  <c r="B7" i="4" s="1"/>
  <c r="D44" i="2"/>
  <c r="I43" i="2"/>
  <c r="J45" i="2"/>
  <c r="D45" i="2" l="1"/>
  <c r="D40" i="2"/>
  <c r="D29" i="2"/>
  <c r="E14" i="3"/>
  <c r="F14" i="3" s="1"/>
  <c r="E45" i="2"/>
  <c r="E8" i="3"/>
  <c r="F8" i="3" s="1"/>
  <c r="C22" i="3" s="1"/>
  <c r="D22" i="3" s="1"/>
  <c r="E29" i="2"/>
  <c r="D43" i="2"/>
  <c r="E13" i="3"/>
  <c r="F13" i="3" s="1"/>
  <c r="E44" i="2"/>
  <c r="J29" i="3"/>
  <c r="N29" i="3" s="1"/>
  <c r="G20" i="3"/>
  <c r="E40" i="2" l="1"/>
  <c r="E7" i="3"/>
  <c r="F7" i="3" s="1"/>
  <c r="C21" i="3" s="1"/>
  <c r="D21" i="3" s="1"/>
  <c r="J31" i="3"/>
  <c r="N31" i="3" s="1"/>
  <c r="G22" i="3"/>
  <c r="E12" i="3"/>
  <c r="F12" i="3" s="1"/>
  <c r="C23" i="3" s="1"/>
  <c r="D23" i="3" s="1"/>
  <c r="G23" i="3" s="1"/>
  <c r="E43" i="2"/>
  <c r="B5" i="4" l="1"/>
  <c r="G21" i="3"/>
  <c r="J30" i="3"/>
  <c r="N30" i="3" s="1"/>
  <c r="B6" i="4" s="1"/>
  <c r="B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Date de valorisation commune du portefeuille.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N2 = P* = Pmod ; N1 = P* = prix observe.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1 = Drepo = Dgov ; 0 = Drepo avec basis simple.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Basis global en decimal applique si RepoProxyFlag =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2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Dgov obtenu par interpolation/extrapolation log-lineaire sur LN(DF), conforme au texte collé.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G1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Valeur obligataire en MMAD : epsilon * Nominal(MMAD) * P* / 100.</t>
        </r>
      </text>
    </comment>
    <comment ref="D20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P* = P_obs si N1, sinon P_mod si N2.</t>
        </r>
      </text>
    </comment>
    <comment ref="N28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Valeur repo en MMAD selon la feuille minimaliste : epsilon * [Nominal(MMAD) * CurrentBondPrice/100 - PT * Drepo(T)].</t>
        </r>
      </text>
    </comment>
    <comment ref="N29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Version minimale: repo choisi avant le prochain coupon du collateral, donc manufactured payments = 0.</t>
        </r>
      </text>
    </comment>
    <comment ref="J3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Valeur forward repo en MMAD : epsilon * Nominal(MMAD) * (r_fwd - r0) * tau360 * Drepo(T2).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8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PV totale du portefeuille en MMAD. 1 MMAD = 1 000 000 MAD.</t>
        </r>
      </text>
    </comment>
  </commentList>
</comments>
</file>

<file path=xl/sharedStrings.xml><?xml version="1.0" encoding="utf-8"?>
<sst xmlns="http://schemas.openxmlformats.org/spreadsheetml/2006/main" count="223" uniqueCount="151">
  <si>
    <t>PORTFOLIO</t>
  </si>
  <si>
    <t>Logique minimale : 1) constitution d'un portefeuille aléatoire figé 2) préparation des données de marché utiles 3) pricing des instruments 4) agrégation de la PV totale. Les nominaux et les valeurs sont en MMAD ; les prix obligataires restent en % du nominal.</t>
  </si>
  <si>
    <t>Paramètre du pricer</t>
  </si>
  <si>
    <t>Valeur</t>
  </si>
  <si>
    <t>Rôle dans le modèle</t>
  </si>
  <si>
    <t>Date de valorisation</t>
  </si>
  <si>
    <t>Date commune utilisée pour valoriser toutes les positions.</t>
  </si>
  <si>
    <t>Régime de pricing (N1/N2)</t>
  </si>
  <si>
    <t>N2</t>
  </si>
  <si>
    <t>N2 : P* = Pmod ; N1 : P* = prix dirty observé.</t>
  </si>
  <si>
    <t>Proxy repo activé (1/0)</t>
  </si>
  <si>
    <t>1 : Drepo = Dgov ; 0 : Drepo calculé à partir d'un basis repo global.</t>
  </si>
  <si>
    <t>Basis repo global (décimal)</t>
  </si>
  <si>
    <t>Écart repo-gov appliqué si le proxy repo n’est pas activé.</t>
  </si>
  <si>
    <t>Obligations tirées dans le portefeuille</t>
  </si>
  <si>
    <t>ID position obligation</t>
  </si>
  <si>
    <t>Code obligation</t>
  </si>
  <si>
    <t>Désignation obligation</t>
  </si>
  <si>
    <t>Taux du coupon</t>
  </si>
  <si>
    <t>Fréquence coupon</t>
  </si>
  <si>
    <t>Date d'échéance</t>
  </si>
  <si>
    <t>Sens de position (ε)</t>
  </si>
  <si>
    <t>Nominal position (MMAD)</t>
  </si>
  <si>
    <t>Prix dirty observé (%)</t>
  </si>
  <si>
    <t>BOND_1</t>
  </si>
  <si>
    <t>979L67</t>
  </si>
  <si>
    <t>MOROCCO 2023 3.9% 17/11/25</t>
  </si>
  <si>
    <t>BOND_2</t>
  </si>
  <si>
    <t>630CRV</t>
  </si>
  <si>
    <t>MOROCCO 2021 2.05% 20/04/26</t>
  </si>
  <si>
    <t>BOND_3</t>
  </si>
  <si>
    <t>786VKT</t>
  </si>
  <si>
    <t>MOROCCO 2006 5.15% 05/06/26</t>
  </si>
  <si>
    <t>BOND_4</t>
  </si>
  <si>
    <t>189ZF7</t>
  </si>
  <si>
    <t>MOROCCO 2024 3.3% 15/04/30</t>
  </si>
  <si>
    <t>Repos tirés dans le portefeuille</t>
  </si>
  <si>
    <t>ID trade repo</t>
  </si>
  <si>
    <t>Code collatéral</t>
  </si>
  <si>
    <t>ID position collatérale</t>
  </si>
  <si>
    <t>Nominal repo (MMAD)</t>
  </si>
  <si>
    <t>Date de départ repo</t>
  </si>
  <si>
    <t>Date d'échéance repo</t>
  </si>
  <si>
    <t>Haircut / décote</t>
  </si>
  <si>
    <t>Taux repo contractuel</t>
  </si>
  <si>
    <t>Prix du collatéral au départ (%)</t>
  </si>
  <si>
    <t>REPO_1</t>
  </si>
  <si>
    <t>REPO_2</t>
  </si>
  <si>
    <t>REPO_3</t>
  </si>
  <si>
    <t>Forward repos tirés dans le portefeuille</t>
  </si>
  <si>
    <t>ID trade forward repo</t>
  </si>
  <si>
    <t>Nominal forward repo (MMAD)</t>
  </si>
  <si>
    <t>Date forward start T1</t>
  </si>
  <si>
    <t>Date forward end T2</t>
  </si>
  <si>
    <t>Taux forward repo contractuel</t>
  </si>
  <si>
    <t>FWD_1</t>
  </si>
  <si>
    <t>FWD_2</t>
  </si>
  <si>
    <t>FWD_3</t>
  </si>
  <si>
    <t>MARKET_DATA</t>
  </si>
  <si>
    <t>Données de marché strictement nécessaires au portefeuille : paramètres globaux, courbe zéro-coupon observée, puis dates utiles pour interpoler Dgov et Drepo. Les valeurs finales du pricer sont en MMAD.</t>
  </si>
  <si>
    <t>Paramètre de marché</t>
  </si>
  <si>
    <t>Courbe zéro-coupon observée</t>
  </si>
  <si>
    <t>Code instrument ZC</t>
  </si>
  <si>
    <t>Date d'échéance ZC</t>
  </si>
  <si>
    <t>Jours jusqu'à échéance</t>
  </si>
  <si>
    <t>Prix zéro-coupon observé (%)</t>
  </si>
  <si>
    <t>Facteur d'actualisation souverain Dgov</t>
  </si>
  <si>
    <t>Taux zéro implicite</t>
  </si>
  <si>
    <t>5595ZR</t>
  </si>
  <si>
    <t>553KYG</t>
  </si>
  <si>
    <t>561HQM</t>
  </si>
  <si>
    <t>564MDH</t>
  </si>
  <si>
    <t>189NXU</t>
  </si>
  <si>
    <t>559NHJ</t>
  </si>
  <si>
    <t>560R9M</t>
  </si>
  <si>
    <t>562C4H</t>
  </si>
  <si>
    <t>565A6Z</t>
  </si>
  <si>
    <t>550R94</t>
  </si>
  <si>
    <t>Dates de marché nécessaires au pricing du portefeuille</t>
  </si>
  <si>
    <t>Identifiant de date</t>
  </si>
  <si>
    <t>Date de pricing</t>
  </si>
  <si>
    <t>Jours à courir</t>
  </si>
  <si>
    <t>Dgov interpolé / extrapolé</t>
  </si>
  <si>
    <t>Drepo retenu</t>
  </si>
  <si>
    <t>Indice pilier inférieur</t>
  </si>
  <si>
    <t>Delta inférieur</t>
  </si>
  <si>
    <t>Delta supérieur</t>
  </si>
  <si>
    <t>DF inférieur</t>
  </si>
  <si>
    <t>DF supérieur</t>
  </si>
  <si>
    <t>Poids d'interpolation λ</t>
  </si>
  <si>
    <t>REPO_3_END</t>
  </si>
  <si>
    <t>BOND_3_CF</t>
  </si>
  <si>
    <t>REPO_1_END</t>
  </si>
  <si>
    <t>REPO_2_END</t>
  </si>
  <si>
    <t>FWD_1_T1</t>
  </si>
  <si>
    <t>BOND_4_CF</t>
  </si>
  <si>
    <t>FWD_1_T2</t>
  </si>
  <si>
    <t>FWD_3_T1</t>
  </si>
  <si>
    <t>FWD_2_T1</t>
  </si>
  <si>
    <t>FWD_2_T2</t>
  </si>
  <si>
    <t>FWD_3_T2</t>
  </si>
  <si>
    <t>BOND_1_CF</t>
  </si>
  <si>
    <t>BOND_2_CF</t>
  </si>
  <si>
    <t>PRICING</t>
  </si>
  <si>
    <t>Trois blocs : 1) flux obligataires et prix théorique Pmod 2) valorisation des repos 3) valorisation des forward repos. Les nominaux et les valeurs sont en MMAD ; les prix obligataires restent en % du nominal.</t>
  </si>
  <si>
    <t>Flux obligataires actualisés</t>
  </si>
  <si>
    <t>Date de flux</t>
  </si>
  <si>
    <t>Montant du flux (% du nominal)</t>
  </si>
  <si>
    <t>Dgov à la date de flux</t>
  </si>
  <si>
    <t>Valeur actuelle du flux (prix %)</t>
  </si>
  <si>
    <t>Valorisation des obligations</t>
  </si>
  <si>
    <t>Prix théorique Pmod (%)</t>
  </si>
  <si>
    <t>Prix retenu P* (%)</t>
  </si>
  <si>
    <t>Valeur de la position obligataire (MMAD)</t>
  </si>
  <si>
    <t>Valorisation des repos</t>
  </si>
  <si>
    <t>Haircut appliqué</t>
  </si>
  <si>
    <t>Prix courant du collatéral (%)</t>
  </si>
  <si>
    <t>Drepo à l'échéance</t>
  </si>
  <si>
    <t>Cash initial P0 (MMAD)</t>
  </si>
  <si>
    <t>Cash remboursé PT (MMAD)</t>
  </si>
  <si>
    <t>Valeur du repo (MMAD)</t>
  </si>
  <si>
    <t>Valorisation des forward repos</t>
  </si>
  <si>
    <t>Drepo à T1</t>
  </si>
  <si>
    <t>Drepo à T2</t>
  </si>
  <si>
    <t>Taux repo forward implicite</t>
  </si>
  <si>
    <t>Valeur du forward repo (MMAD)</t>
  </si>
  <si>
    <t>SUMMARY</t>
  </si>
  <si>
    <t>Agrégation finale de la valeur du portefeuille. Toutes les valeurs ci-dessous sont en MMAD.</t>
  </si>
  <si>
    <t>Catégorie de valeur</t>
  </si>
  <si>
    <t>PV agrégée (MMAD)</t>
  </si>
  <si>
    <t>Description</t>
  </si>
  <si>
    <t>Convention d'unité</t>
  </si>
  <si>
    <t>PV des obligations</t>
  </si>
  <si>
    <t>Somme des valeurs des positions obligataires.</t>
  </si>
  <si>
    <t>1 MMAD</t>
  </si>
  <si>
    <t>MAD</t>
  </si>
  <si>
    <t>PV des repos</t>
  </si>
  <si>
    <t>Somme des valeurs des trades repo.</t>
  </si>
  <si>
    <t>Prix obligations</t>
  </si>
  <si>
    <t>% du nominal</t>
  </si>
  <si>
    <t>PV des forward repos</t>
  </si>
  <si>
    <t>Somme des valeurs des trades forward repo.</t>
  </si>
  <si>
    <t>Nominal &amp; PV</t>
  </si>
  <si>
    <t>MMAD</t>
  </si>
  <si>
    <t>PV totale du portefeuille</t>
  </si>
  <si>
    <t>Somme de toutes les valeurs du portefeuille.</t>
  </si>
  <si>
    <t>Contrôles</t>
  </si>
  <si>
    <t>Nombre d'obligations</t>
  </si>
  <si>
    <t>Nombre de repos</t>
  </si>
  <si>
    <t>Nombre de forward repos</t>
  </si>
  <si>
    <t>Régime de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</si>
</sst>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%;[Red]\(0.0000%\);\-"/>
    <numFmt numFmtId="165" formatCode="#,##0.0000;[Red]\(#,##0.0000\);\-"/>
    <numFmt numFmtId="166" formatCode="0.000000"/>
    <numFmt numFmtId="167" formatCode="#,##0.0000\ &quot;MMAD&quot;;[Red]\(#,##0.0000\ &quot;MMAD&quot;\);\-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1"/>
      <color rgb="FF666666"/>
      <name val="Calibri"/>
    </font>
    <font>
      <b/>
      <sz val="11"/>
      <color rgb="FFFFFFFF"/>
      <name val="Calibri"/>
    </font>
    <font>
      <sz val="11"/>
      <color rgb="FF0000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3F3"/>
      </patternFill>
    </fill>
    <fill>
      <patternFill patternType="solid">
        <fgColor rgb="FF203864"/>
      </patternFill>
    </fill>
    <fill>
      <patternFill patternType="solid">
        <fgColor rgb="FFFFF2CC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14" fontId="4" fillId="5" borderId="0" xfId="0" applyNumberFormat="1" applyFont="1" applyFill="1"/>
    <xf numFmtId="0" fontId="4" fillId="5" borderId="0" xfId="0" applyFont="1" applyFill="1"/>
    <xf numFmtId="164" fontId="4" fillId="5" borderId="0" xfId="0" applyNumberFormat="1" applyFont="1" applyFill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5" fontId="4" fillId="5" borderId="0" xfId="0" applyNumberFormat="1" applyFont="1" applyFill="1"/>
    <xf numFmtId="166" fontId="0" fillId="0" borderId="0" xfId="0" applyNumberFormat="1"/>
    <xf numFmtId="167" fontId="4" fillId="5" borderId="0" xfId="0" applyNumberFormat="1" applyFont="1" applyFill="1"/>
    <xf numFmtId="167" fontId="0" fillId="0" borderId="0" xfId="0" applyNumberFormat="1"/>
    <xf numFmtId="167" fontId="5" fillId="6" borderId="0" xfId="0" applyNumberFormat="1" applyFont="1" applyFill="1"/>
    <xf numFmtId="0" fontId="3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4" fillId="5" borderId="0" xfId="0" applyNumberFormat="1" applyFont="1" applyFill="1" applyAlignment="1">
      <alignment horizontal="center" vertical="center" wrapText="1"/>
    </xf>
    <xf numFmtId="0" fontId="5" fillId="6" borderId="0" xfId="0" applyFont="1" applyFill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167" fontId="4" fillId="5" borderId="0" xfId="0" applyNumberFormat="1" applyFont="1" applyFill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166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165" fontId="3" fillId="4" borderId="1" xfId="0" applyNumberFormat="1" applyFont="1" applyFill="1" applyBorder="1" applyAlignment="1">
      <alignment vertical="center" wrapText="1"/>
    </xf>
    <xf numFmtId="166" fontId="3" fillId="4" borderId="1" xfId="0" applyNumberFormat="1" applyFont="1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vertical="center" wrapText="1"/>
    </xf>
    <xf numFmtId="1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vertical="center" wrapText="1"/>
    </xf>
    <xf numFmtId="0" fontId="0" fillId="3" borderId="0" xfId="0" applyFill="1" applyAlignment="1">
      <alignment vertical="center" wrapText="1"/>
    </xf>
    <xf numFmtId="167" fontId="0" fillId="3" borderId="0" xfId="0" applyNumberFormat="1" applyFill="1" applyAlignment="1">
      <alignment vertical="center" wrapText="1"/>
    </xf>
    <xf numFmtId="167" fontId="0" fillId="0" borderId="0" xfId="0" applyNumberFormat="1" applyAlignment="1">
      <alignment horizontal="center" vertical="center" wrapText="1"/>
    </xf>
    <xf numFmtId="167" fontId="0" fillId="0" borderId="0" xfId="0" applyNumberFormat="1" applyAlignment="1">
      <alignment vertical="center" wrapText="1"/>
    </xf>
    <xf numFmtId="0" fontId="0" fillId="6" borderId="0" xfId="0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right" vertical="center" wrapText="1"/>
    </xf>
    <xf numFmtId="14" fontId="4" fillId="5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vertical="center" wrapText="1"/>
    </xf>
    <xf numFmtId="164" fontId="4" fillId="5" borderId="0" xfId="0" applyNumberFormat="1" applyFont="1" applyFill="1" applyAlignment="1"/>
    <xf numFmtId="167" fontId="4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899160</xdr:colOff>
      <xdr:row>33</xdr:row>
      <xdr:rowOff>121920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6B7684D2-C7CE-3BB1-55F3-62A0DBFF316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213360</xdr:colOff>
      <xdr:row>39</xdr:row>
      <xdr:rowOff>121920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26402D4C-B0C8-77C6-47C5-7E34E37062E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762000</xdr:colOff>
      <xdr:row>36</xdr:row>
      <xdr:rowOff>121920</xdr:rowOff>
    </xdr:to>
    <xdr:sp macro="" textlink="">
      <xdr:nvSpPr>
        <xdr:cNvPr id="3078" name="Text Box 6" hidden="1">
          <a:extLst>
            <a:ext uri="{FF2B5EF4-FFF2-40B4-BE49-F238E27FC236}">
              <a16:creationId xmlns:a16="http://schemas.microsoft.com/office/drawing/2014/main" id="{2314F79D-8500-4D3F-313F-8AE732AC4A2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350520</xdr:colOff>
      <xdr:row>40</xdr:row>
      <xdr:rowOff>121920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809CDC05-2F61-2136-BBA9-517D4F1D0E3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showGridLines="0" tabSelected="1" topLeftCell="A10" workbookViewId="0">
      <selection activeCell="C37" sqref="C37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38" customWidth="1"/>
    <col min="4" max="4" width="14" customWidth="1"/>
    <col min="5" max="6" width="18" customWidth="1"/>
    <col min="7" max="7" width="16" customWidth="1"/>
    <col min="8" max="9" width="20" customWidth="1"/>
    <col min="10" max="10" width="22" customWidth="1"/>
  </cols>
  <sheetData>
    <row r="1" spans="1:10" x14ac:dyDescent="0.3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x14ac:dyDescent="0.3">
      <c r="A2" s="40" t="s">
        <v>1</v>
      </c>
      <c r="B2" s="39"/>
      <c r="C2" s="39"/>
      <c r="D2" s="39"/>
      <c r="E2" s="39"/>
      <c r="F2" s="39"/>
      <c r="G2" s="39"/>
      <c r="H2" s="39"/>
      <c r="I2" s="39"/>
      <c r="J2" s="39"/>
    </row>
    <row r="4" spans="1:10" x14ac:dyDescent="0.3">
      <c r="A4" s="13" t="s">
        <v>2</v>
      </c>
      <c r="B4" s="13" t="s">
        <v>3</v>
      </c>
      <c r="C4" s="13" t="s">
        <v>4</v>
      </c>
      <c r="D4" s="14"/>
      <c r="E4" s="14"/>
      <c r="F4" s="14"/>
      <c r="G4" s="14"/>
      <c r="H4" s="14"/>
      <c r="I4" s="14"/>
      <c r="J4" s="14"/>
    </row>
    <row r="5" spans="1:10" ht="28.8" x14ac:dyDescent="0.3">
      <c r="A5" s="15" t="s">
        <v>5</v>
      </c>
      <c r="B5" s="16">
        <v>45784</v>
      </c>
      <c r="C5" s="15" t="s">
        <v>6</v>
      </c>
      <c r="D5" s="14"/>
      <c r="E5" s="14"/>
      <c r="F5" s="14"/>
      <c r="G5" s="14"/>
      <c r="H5" s="14"/>
      <c r="I5" s="14"/>
      <c r="J5" s="14"/>
    </row>
    <row r="6" spans="1:10" x14ac:dyDescent="0.3">
      <c r="A6" s="15" t="s">
        <v>7</v>
      </c>
      <c r="B6" s="3" t="s">
        <v>8</v>
      </c>
      <c r="C6" s="15" t="s">
        <v>9</v>
      </c>
    </row>
    <row r="7" spans="1:10" ht="28.8" x14ac:dyDescent="0.3">
      <c r="A7" s="15" t="s">
        <v>10</v>
      </c>
      <c r="B7" s="3">
        <v>1</v>
      </c>
      <c r="C7" s="15" t="s">
        <v>11</v>
      </c>
    </row>
    <row r="8" spans="1:10" ht="28.8" x14ac:dyDescent="0.3">
      <c r="A8" s="15" t="s">
        <v>12</v>
      </c>
      <c r="B8" s="4">
        <v>0</v>
      </c>
      <c r="C8" s="15" t="s">
        <v>13</v>
      </c>
    </row>
    <row r="11" spans="1:10" x14ac:dyDescent="0.3">
      <c r="A11" s="41" t="s">
        <v>14</v>
      </c>
      <c r="B11" s="42"/>
      <c r="C11" s="42"/>
      <c r="D11" s="42"/>
      <c r="E11" s="42"/>
      <c r="F11" s="42"/>
      <c r="G11" s="42"/>
      <c r="H11" s="42"/>
      <c r="I11" s="42"/>
      <c r="J11" s="14"/>
    </row>
    <row r="12" spans="1:10" ht="28.8" x14ac:dyDescent="0.3">
      <c r="A12" s="13" t="s">
        <v>15</v>
      </c>
      <c r="B12" s="18" t="s">
        <v>16</v>
      </c>
      <c r="C12" s="13" t="s">
        <v>17</v>
      </c>
      <c r="D12" s="18" t="s">
        <v>18</v>
      </c>
      <c r="E12" s="18" t="s">
        <v>19</v>
      </c>
      <c r="F12" s="18" t="s">
        <v>20</v>
      </c>
      <c r="G12" s="13" t="s">
        <v>21</v>
      </c>
      <c r="H12" s="13" t="s">
        <v>22</v>
      </c>
      <c r="I12" s="13" t="s">
        <v>23</v>
      </c>
      <c r="J12" s="14"/>
    </row>
    <row r="13" spans="1:10" x14ac:dyDescent="0.3">
      <c r="A13" t="s">
        <v>24</v>
      </c>
      <c r="B13" t="s">
        <v>25</v>
      </c>
      <c r="C13" s="15" t="s">
        <v>26</v>
      </c>
      <c r="D13" s="5">
        <v>3.9E-2</v>
      </c>
      <c r="E13">
        <v>1</v>
      </c>
      <c r="F13" s="6">
        <v>45978</v>
      </c>
      <c r="G13" s="3">
        <v>1</v>
      </c>
      <c r="H13" s="10">
        <v>300</v>
      </c>
      <c r="I13" s="7">
        <v>102.5971</v>
      </c>
    </row>
    <row r="14" spans="1:10" x14ac:dyDescent="0.3">
      <c r="A14" t="s">
        <v>27</v>
      </c>
      <c r="B14" t="s">
        <v>28</v>
      </c>
      <c r="C14" s="15" t="s">
        <v>29</v>
      </c>
      <c r="D14" s="5">
        <v>2.0500000000000001E-2</v>
      </c>
      <c r="E14">
        <v>1</v>
      </c>
      <c r="F14" s="6">
        <v>46132</v>
      </c>
      <c r="G14" s="3">
        <v>-1</v>
      </c>
      <c r="H14" s="10">
        <v>100</v>
      </c>
      <c r="I14" s="7">
        <v>99.805400000000006</v>
      </c>
    </row>
    <row r="15" spans="1:10" x14ac:dyDescent="0.3">
      <c r="A15" t="s">
        <v>30</v>
      </c>
      <c r="B15" t="s">
        <v>31</v>
      </c>
      <c r="C15" s="15" t="s">
        <v>32</v>
      </c>
      <c r="D15" s="5">
        <v>5.1499999999999997E-2</v>
      </c>
      <c r="E15">
        <v>1</v>
      </c>
      <c r="F15" s="6">
        <v>46178</v>
      </c>
      <c r="G15" s="3">
        <v>1</v>
      </c>
      <c r="H15" s="10">
        <v>200</v>
      </c>
      <c r="I15" s="7">
        <v>107.6508</v>
      </c>
    </row>
    <row r="16" spans="1:10" x14ac:dyDescent="0.3">
      <c r="A16" t="s">
        <v>33</v>
      </c>
      <c r="B16" t="s">
        <v>34</v>
      </c>
      <c r="C16" s="15" t="s">
        <v>35</v>
      </c>
      <c r="D16" s="5">
        <v>3.3000000000000002E-2</v>
      </c>
      <c r="E16">
        <v>1</v>
      </c>
      <c r="F16" s="6">
        <v>47588</v>
      </c>
      <c r="G16" s="3">
        <v>-1</v>
      </c>
      <c r="H16" s="10">
        <v>300</v>
      </c>
      <c r="I16" s="7">
        <v>105.5471</v>
      </c>
    </row>
    <row r="17" spans="1:10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0" x14ac:dyDescent="0.3">
      <c r="A18" s="41" t="s">
        <v>36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10" ht="28.8" x14ac:dyDescent="0.3">
      <c r="A19" s="18" t="s">
        <v>37</v>
      </c>
      <c r="B19" s="18" t="s">
        <v>38</v>
      </c>
      <c r="C19" s="13" t="s">
        <v>39</v>
      </c>
      <c r="D19" s="13" t="s">
        <v>21</v>
      </c>
      <c r="E19" s="13" t="s">
        <v>40</v>
      </c>
      <c r="F19" s="13" t="s">
        <v>41</v>
      </c>
      <c r="G19" s="13" t="s">
        <v>42</v>
      </c>
      <c r="H19" s="18" t="s">
        <v>43</v>
      </c>
      <c r="I19" s="13" t="s">
        <v>44</v>
      </c>
      <c r="J19" s="13" t="s">
        <v>45</v>
      </c>
    </row>
    <row r="20" spans="1:10" x14ac:dyDescent="0.3">
      <c r="A20" t="s">
        <v>46</v>
      </c>
      <c r="B20" t="s">
        <v>25</v>
      </c>
      <c r="C20" t="s">
        <v>24</v>
      </c>
      <c r="D20" s="3">
        <v>1</v>
      </c>
      <c r="E20" s="10">
        <v>200</v>
      </c>
      <c r="F20" s="2">
        <v>45784</v>
      </c>
      <c r="G20" s="2">
        <v>45820</v>
      </c>
      <c r="H20" s="4">
        <v>0.02</v>
      </c>
      <c r="I20" s="4">
        <v>2.5000000000000001E-2</v>
      </c>
      <c r="J20" s="8">
        <v>102.5971</v>
      </c>
    </row>
    <row r="21" spans="1:10" x14ac:dyDescent="0.3">
      <c r="A21" t="s">
        <v>47</v>
      </c>
      <c r="B21" t="s">
        <v>28</v>
      </c>
      <c r="C21" t="s">
        <v>27</v>
      </c>
      <c r="D21" s="3">
        <v>-1</v>
      </c>
      <c r="E21" s="10">
        <v>300</v>
      </c>
      <c r="F21" s="2">
        <v>45784</v>
      </c>
      <c r="G21" s="2">
        <v>45823</v>
      </c>
      <c r="H21" s="4">
        <v>0.02</v>
      </c>
      <c r="I21" s="4">
        <v>2.4E-2</v>
      </c>
      <c r="J21" s="8">
        <v>99.805400000000006</v>
      </c>
    </row>
    <row r="22" spans="1:10" x14ac:dyDescent="0.3">
      <c r="A22" t="s">
        <v>48</v>
      </c>
      <c r="B22" t="s">
        <v>31</v>
      </c>
      <c r="C22" t="s">
        <v>30</v>
      </c>
      <c r="D22" s="3">
        <v>1</v>
      </c>
      <c r="E22" s="10">
        <v>300</v>
      </c>
      <c r="F22" s="2">
        <v>45784</v>
      </c>
      <c r="G22" s="2">
        <v>45805</v>
      </c>
      <c r="H22" s="4">
        <v>0.02</v>
      </c>
      <c r="I22" s="4">
        <v>2.3E-2</v>
      </c>
      <c r="J22" s="8">
        <v>107.6508</v>
      </c>
    </row>
    <row r="25" spans="1:10" x14ac:dyDescent="0.3">
      <c r="A25" s="41" t="s">
        <v>49</v>
      </c>
      <c r="B25" s="42"/>
      <c r="C25" s="42"/>
      <c r="D25" s="42"/>
      <c r="E25" s="42"/>
      <c r="F25" s="42"/>
      <c r="G25" s="14"/>
      <c r="H25" s="14"/>
      <c r="I25" s="14"/>
      <c r="J25" s="14"/>
    </row>
    <row r="26" spans="1:10" ht="28.8" x14ac:dyDescent="0.3">
      <c r="A26" s="13" t="s">
        <v>50</v>
      </c>
      <c r="B26" s="13" t="s">
        <v>21</v>
      </c>
      <c r="C26" s="13" t="s">
        <v>51</v>
      </c>
      <c r="D26" s="13" t="s">
        <v>52</v>
      </c>
      <c r="E26" s="13" t="s">
        <v>53</v>
      </c>
      <c r="F26" s="13" t="s">
        <v>54</v>
      </c>
      <c r="G26" s="14"/>
      <c r="H26" s="14"/>
      <c r="I26" s="14"/>
      <c r="J26" s="14"/>
    </row>
    <row r="27" spans="1:10" x14ac:dyDescent="0.3">
      <c r="A27" s="47" t="s">
        <v>55</v>
      </c>
      <c r="B27" s="19">
        <v>-1</v>
      </c>
      <c r="C27" s="20">
        <v>100</v>
      </c>
      <c r="D27" s="16">
        <v>45850</v>
      </c>
      <c r="E27" s="16">
        <v>45875</v>
      </c>
      <c r="F27" s="54">
        <v>2.5000000000000001E-2</v>
      </c>
      <c r="G27" s="14"/>
      <c r="H27" s="14"/>
      <c r="I27" s="14"/>
      <c r="J27" s="14"/>
    </row>
    <row r="28" spans="1:10" x14ac:dyDescent="0.3">
      <c r="A28" s="48" t="s">
        <v>56</v>
      </c>
      <c r="B28" s="57">
        <v>1</v>
      </c>
      <c r="C28" s="56">
        <v>300</v>
      </c>
      <c r="D28" s="53">
        <v>45889</v>
      </c>
      <c r="E28" s="53">
        <v>45925</v>
      </c>
      <c r="F28" s="55">
        <v>2.1999999999999999E-2</v>
      </c>
    </row>
    <row r="29" spans="1:10" x14ac:dyDescent="0.3">
      <c r="A29" s="48" t="s">
        <v>57</v>
      </c>
      <c r="B29" s="57">
        <v>-1</v>
      </c>
      <c r="C29" s="56">
        <v>500</v>
      </c>
      <c r="D29" s="53">
        <v>45880</v>
      </c>
      <c r="E29" s="53">
        <v>45934</v>
      </c>
      <c r="F29" s="55">
        <v>2.1999999999999999E-2</v>
      </c>
    </row>
  </sheetData>
  <mergeCells count="5">
    <mergeCell ref="A1:J1"/>
    <mergeCell ref="A2:J2"/>
    <mergeCell ref="A25:F25"/>
    <mergeCell ref="A11:I11"/>
    <mergeCell ref="A18:J18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6"/>
  <sheetViews>
    <sheetView showGridLines="0" workbookViewId="0">
      <selection activeCell="R36" sqref="R36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6" customWidth="1"/>
    <col min="4" max="4" width="22" customWidth="1"/>
    <col min="5" max="5" width="24" customWidth="1"/>
    <col min="6" max="6" width="18" hidden="1" customWidth="1"/>
    <col min="7" max="10" width="14" hidden="1" customWidth="1"/>
    <col min="11" max="11" width="20" hidden="1" customWidth="1"/>
  </cols>
  <sheetData>
    <row r="1" spans="1:11" x14ac:dyDescent="0.3">
      <c r="A1" s="38" t="s">
        <v>58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3">
      <c r="A2" s="40" t="s">
        <v>59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4" spans="1:11" x14ac:dyDescent="0.3">
      <c r="A4" s="13" t="s">
        <v>60</v>
      </c>
      <c r="B4" s="13" t="s">
        <v>3</v>
      </c>
      <c r="C4" s="14"/>
      <c r="D4" s="14"/>
      <c r="E4" s="14"/>
      <c r="F4" s="14"/>
      <c r="G4" s="14"/>
      <c r="H4" s="14"/>
      <c r="I4" s="14"/>
      <c r="J4" s="14"/>
      <c r="K4" s="14"/>
    </row>
    <row r="5" spans="1:11" x14ac:dyDescent="0.3">
      <c r="A5" s="15" t="s">
        <v>5</v>
      </c>
      <c r="B5" s="21">
        <f>PORTFOLIO!$B$5</f>
        <v>45784</v>
      </c>
      <c r="C5" s="14"/>
      <c r="D5" s="14"/>
      <c r="E5" s="14"/>
      <c r="F5" s="14"/>
      <c r="G5" s="14"/>
      <c r="H5" s="14"/>
      <c r="I5" s="14"/>
      <c r="J5" s="14"/>
      <c r="K5" s="14"/>
    </row>
    <row r="6" spans="1:11" x14ac:dyDescent="0.3">
      <c r="A6" s="15" t="s">
        <v>10</v>
      </c>
      <c r="B6">
        <f>PORTFOLIO!$B$7</f>
        <v>1</v>
      </c>
    </row>
    <row r="7" spans="1:11" x14ac:dyDescent="0.3">
      <c r="A7" s="15" t="s">
        <v>12</v>
      </c>
      <c r="B7" s="5">
        <f>PORTFOLIO!$B$8</f>
        <v>0</v>
      </c>
    </row>
    <row r="11" spans="1:11" x14ac:dyDescent="0.3">
      <c r="A11" s="41" t="s">
        <v>61</v>
      </c>
      <c r="B11" s="39"/>
      <c r="C11" s="39"/>
      <c r="D11" s="39"/>
      <c r="E11" s="39"/>
      <c r="F11" s="39"/>
    </row>
    <row r="12" spans="1:11" ht="28.8" x14ac:dyDescent="0.3">
      <c r="A12" s="13" t="s">
        <v>62</v>
      </c>
      <c r="B12" s="13" t="s">
        <v>63</v>
      </c>
      <c r="C12" s="13" t="s">
        <v>64</v>
      </c>
      <c r="D12" s="13" t="s">
        <v>65</v>
      </c>
      <c r="E12" s="13" t="s">
        <v>66</v>
      </c>
      <c r="F12" s="13" t="s">
        <v>67</v>
      </c>
      <c r="G12" s="14"/>
      <c r="H12" s="14"/>
      <c r="I12" s="14"/>
      <c r="J12" s="14"/>
      <c r="K12" s="14"/>
    </row>
    <row r="13" spans="1:11" x14ac:dyDescent="0.3">
      <c r="A13" s="47" t="s">
        <v>68</v>
      </c>
      <c r="B13" s="21">
        <v>45789</v>
      </c>
      <c r="C13" s="14">
        <v>5</v>
      </c>
      <c r="D13" s="23">
        <v>99.97</v>
      </c>
      <c r="E13" s="24">
        <f t="shared" ref="E13:E22" si="0">D13/100</f>
        <v>0.99970000000000003</v>
      </c>
      <c r="F13" s="25">
        <f t="shared" ref="F13:F22" si="1">IF(C13=0,0,-LN(E13)/(C13/365))</f>
        <v>2.1903285657145447E-2</v>
      </c>
      <c r="G13" s="14"/>
      <c r="H13" s="14"/>
      <c r="I13" s="14"/>
      <c r="J13" s="14"/>
      <c r="K13" s="14"/>
    </row>
    <row r="14" spans="1:11" x14ac:dyDescent="0.3">
      <c r="A14" s="48" t="s">
        <v>69</v>
      </c>
      <c r="B14" s="43">
        <v>45797</v>
      </c>
      <c r="C14" s="45">
        <v>13</v>
      </c>
      <c r="D14" s="44">
        <v>99.92</v>
      </c>
      <c r="E14" s="46">
        <f t="shared" si="0"/>
        <v>0.99919999999999998</v>
      </c>
      <c r="F14" s="25">
        <f t="shared" si="1"/>
        <v>2.2470527871595512E-2</v>
      </c>
    </row>
    <row r="15" spans="1:11" x14ac:dyDescent="0.3">
      <c r="A15" s="48" t="s">
        <v>70</v>
      </c>
      <c r="B15" s="43">
        <v>45803</v>
      </c>
      <c r="C15" s="45">
        <v>19</v>
      </c>
      <c r="D15" s="44">
        <v>99.88</v>
      </c>
      <c r="E15" s="46">
        <f t="shared" si="0"/>
        <v>0.99879999999999991</v>
      </c>
      <c r="F15" s="25">
        <f t="shared" si="1"/>
        <v>2.306647423312793E-2</v>
      </c>
    </row>
    <row r="16" spans="1:11" x14ac:dyDescent="0.3">
      <c r="A16" s="48" t="s">
        <v>71</v>
      </c>
      <c r="B16" s="43">
        <v>45831</v>
      </c>
      <c r="C16" s="45">
        <v>47</v>
      </c>
      <c r="D16" s="44">
        <v>99.7</v>
      </c>
      <c r="E16" s="46">
        <f t="shared" si="0"/>
        <v>0.997</v>
      </c>
      <c r="F16" s="25">
        <f t="shared" si="1"/>
        <v>2.3332889200192219E-2</v>
      </c>
    </row>
    <row r="17" spans="1:11" x14ac:dyDescent="0.3">
      <c r="A17" s="48" t="s">
        <v>72</v>
      </c>
      <c r="B17" s="43">
        <v>45859</v>
      </c>
      <c r="C17" s="45">
        <v>75</v>
      </c>
      <c r="D17" s="44">
        <v>99.52</v>
      </c>
      <c r="E17" s="46">
        <f t="shared" si="0"/>
        <v>0.99519999999999997</v>
      </c>
      <c r="F17" s="25">
        <f t="shared" si="1"/>
        <v>2.3416244053147465E-2</v>
      </c>
    </row>
    <row r="18" spans="1:11" x14ac:dyDescent="0.3">
      <c r="A18" s="47" t="s">
        <v>73</v>
      </c>
      <c r="B18" s="21">
        <v>45873</v>
      </c>
      <c r="C18" s="14">
        <v>89</v>
      </c>
      <c r="D18" s="23">
        <v>99.43</v>
      </c>
      <c r="E18" s="24">
        <f t="shared" si="0"/>
        <v>0.99430000000000007</v>
      </c>
      <c r="F18" s="25">
        <f t="shared" si="1"/>
        <v>2.3443281500896789E-2</v>
      </c>
      <c r="G18" s="14"/>
      <c r="H18" s="14"/>
      <c r="I18" s="14"/>
      <c r="J18" s="14"/>
      <c r="K18" s="14"/>
    </row>
    <row r="19" spans="1:11" x14ac:dyDescent="0.3">
      <c r="A19" s="47" t="s">
        <v>74</v>
      </c>
      <c r="B19" s="21">
        <v>45887</v>
      </c>
      <c r="C19" s="14">
        <v>103</v>
      </c>
      <c r="D19" s="23">
        <v>99.33</v>
      </c>
      <c r="E19" s="24">
        <f t="shared" si="0"/>
        <v>0.99329999999999996</v>
      </c>
      <c r="F19" s="25">
        <f t="shared" si="1"/>
        <v>2.3822613618463943E-2</v>
      </c>
      <c r="G19" s="14"/>
      <c r="H19" s="14"/>
      <c r="I19" s="14"/>
      <c r="J19" s="14"/>
      <c r="K19" s="14"/>
    </row>
    <row r="20" spans="1:11" x14ac:dyDescent="0.3">
      <c r="A20" s="47" t="s">
        <v>75</v>
      </c>
      <c r="B20" s="21">
        <v>45901</v>
      </c>
      <c r="C20" s="14">
        <v>117</v>
      </c>
      <c r="D20" s="23">
        <v>99.24</v>
      </c>
      <c r="E20" s="24">
        <f t="shared" si="0"/>
        <v>0.99239999999999995</v>
      </c>
      <c r="F20" s="25">
        <f t="shared" si="1"/>
        <v>2.3799956538797216E-2</v>
      </c>
      <c r="G20" s="14"/>
      <c r="H20" s="14"/>
      <c r="I20" s="14"/>
      <c r="J20" s="14"/>
      <c r="K20" s="14"/>
    </row>
    <row r="21" spans="1:11" x14ac:dyDescent="0.3">
      <c r="A21" s="48" t="s">
        <v>76</v>
      </c>
      <c r="B21" s="43">
        <v>45932</v>
      </c>
      <c r="C21" s="45">
        <v>148</v>
      </c>
      <c r="D21" s="44">
        <v>99.04</v>
      </c>
      <c r="E21" s="46">
        <f t="shared" si="0"/>
        <v>0.99040000000000006</v>
      </c>
      <c r="F21" s="25">
        <f t="shared" si="1"/>
        <v>2.3790051512898296E-2</v>
      </c>
    </row>
    <row r="22" spans="1:11" x14ac:dyDescent="0.3">
      <c r="A22" s="48" t="s">
        <v>77</v>
      </c>
      <c r="B22" s="43">
        <v>45944</v>
      </c>
      <c r="C22" s="45">
        <v>160</v>
      </c>
      <c r="D22" s="44">
        <v>98.96</v>
      </c>
      <c r="E22" s="46">
        <f t="shared" si="0"/>
        <v>0.98959999999999992</v>
      </c>
      <c r="F22" s="25">
        <f t="shared" si="1"/>
        <v>2.384923209317831E-2</v>
      </c>
    </row>
    <row r="23" spans="1:11" x14ac:dyDescent="0.3">
      <c r="A23" s="48"/>
      <c r="D23" s="7"/>
      <c r="E23" s="9"/>
      <c r="F23" s="5"/>
    </row>
    <row r="24" spans="1:11" x14ac:dyDescent="0.3">
      <c r="D24" s="7"/>
      <c r="E24" s="9"/>
      <c r="F24" s="5"/>
    </row>
    <row r="25" spans="1:11" x14ac:dyDescent="0.3">
      <c r="D25" s="7"/>
      <c r="E25" s="9"/>
      <c r="F25" s="5"/>
    </row>
    <row r="26" spans="1:11" x14ac:dyDescent="0.3">
      <c r="A26" s="41" t="s">
        <v>78</v>
      </c>
      <c r="B26" s="42"/>
      <c r="C26" s="42"/>
      <c r="D26" s="42"/>
      <c r="E26" s="42"/>
      <c r="F26" s="27"/>
      <c r="G26" s="14"/>
      <c r="H26" s="14"/>
      <c r="I26" s="14"/>
      <c r="J26" s="14"/>
      <c r="K26" s="14"/>
    </row>
    <row r="27" spans="1:11" ht="28.8" x14ac:dyDescent="0.3">
      <c r="A27" s="13" t="s">
        <v>79</v>
      </c>
      <c r="B27" s="13" t="s">
        <v>80</v>
      </c>
      <c r="C27" s="13" t="s">
        <v>81</v>
      </c>
      <c r="D27" s="28" t="s">
        <v>82</v>
      </c>
      <c r="E27" s="29" t="s">
        <v>83</v>
      </c>
      <c r="F27" s="30" t="s">
        <v>84</v>
      </c>
      <c r="G27" s="13" t="s">
        <v>85</v>
      </c>
      <c r="H27" s="13" t="s">
        <v>86</v>
      </c>
      <c r="I27" s="13" t="s">
        <v>87</v>
      </c>
      <c r="J27" s="13" t="s">
        <v>88</v>
      </c>
      <c r="K27" s="13" t="s">
        <v>89</v>
      </c>
    </row>
    <row r="28" spans="1:11" x14ac:dyDescent="0.3">
      <c r="A28" s="47" t="s">
        <v>90</v>
      </c>
      <c r="B28" s="22">
        <v>45805</v>
      </c>
      <c r="C28" s="31">
        <f>B28-$B$5</f>
        <v>21</v>
      </c>
      <c r="D28" s="23">
        <f t="shared" ref="D28:D46" si="2">IF(C28&lt;=0,1,EXP((1-K28)*LN(I28)+K28*LN(J28)))</f>
        <v>0.99867132086855781</v>
      </c>
      <c r="E28" s="24">
        <f t="shared" ref="E28:E46" si="3">IF(C28&lt;=0,1,IF($B$6=1,D28,1/(1+(((1/D28)-1)/(C28/360)+$B$7)*(C28/360))))</f>
        <v>0.99867132086855781</v>
      </c>
      <c r="F28" s="25">
        <f t="shared" ref="F28:F46" si="4">IF(C28&lt;=$C$13,1,IF(C28&gt;=$C$22,9,MATCH(C28,$C$13:$C$22,1)))</f>
        <v>3</v>
      </c>
      <c r="G28" s="15">
        <f t="shared" ref="G28:G46" si="5">IF(C28&lt;=$C$13,0,INDEX($C$13:$C$22,F28))</f>
        <v>19</v>
      </c>
      <c r="H28" s="15">
        <f t="shared" ref="H28:H46" si="6">IF(C28&lt;=$C$13,$C$13,INDEX($C$13:$C$22,F28+1))</f>
        <v>47</v>
      </c>
      <c r="I28" s="15">
        <f t="shared" ref="I28:I46" si="7">IF(C28&lt;=$C$13,1,INDEX($E$13:$E$22,F28))</f>
        <v>0.99879999999999991</v>
      </c>
      <c r="J28" s="15">
        <f t="shared" ref="J28:J46" si="8">IF(C28&lt;=$C$13,$E$13,INDEX($E$13:$E$22,F28+1))</f>
        <v>0.997</v>
      </c>
      <c r="K28" s="15">
        <f t="shared" ref="K28:K46" si="9">IF(H28=G28,0,(C28-G28)/(H28-G28))</f>
        <v>7.1428571428571425E-2</v>
      </c>
    </row>
    <row r="29" spans="1:11" x14ac:dyDescent="0.3">
      <c r="A29" s="48" t="s">
        <v>91</v>
      </c>
      <c r="B29" s="49">
        <v>45813</v>
      </c>
      <c r="C29" s="50">
        <f t="shared" ref="C28:C46" si="10">B29-$B$5</f>
        <v>29</v>
      </c>
      <c r="D29" s="23">
        <f t="shared" si="2"/>
        <v>0.99815677010355952</v>
      </c>
      <c r="E29" s="24">
        <f t="shared" si="3"/>
        <v>0.99815677010355952</v>
      </c>
      <c r="F29" s="25">
        <f t="shared" si="4"/>
        <v>3</v>
      </c>
      <c r="G29" s="15">
        <f t="shared" si="5"/>
        <v>19</v>
      </c>
      <c r="H29" s="15">
        <f t="shared" si="6"/>
        <v>47</v>
      </c>
      <c r="I29" s="15">
        <f t="shared" si="7"/>
        <v>0.99879999999999991</v>
      </c>
      <c r="J29" s="15">
        <f t="shared" si="8"/>
        <v>0.997</v>
      </c>
      <c r="K29" s="15">
        <f t="shared" si="9"/>
        <v>0.35714285714285715</v>
      </c>
    </row>
    <row r="30" spans="1:11" x14ac:dyDescent="0.3">
      <c r="A30" s="48" t="s">
        <v>92</v>
      </c>
      <c r="B30" s="49">
        <v>45820</v>
      </c>
      <c r="C30" s="50">
        <f t="shared" si="10"/>
        <v>36</v>
      </c>
      <c r="D30" s="23">
        <f t="shared" si="2"/>
        <v>0.99770675566579248</v>
      </c>
      <c r="E30" s="24">
        <f t="shared" si="3"/>
        <v>0.99770675566579248</v>
      </c>
      <c r="F30" s="25">
        <f t="shared" si="4"/>
        <v>3</v>
      </c>
      <c r="G30" s="15">
        <f t="shared" si="5"/>
        <v>19</v>
      </c>
      <c r="H30" s="15">
        <f t="shared" si="6"/>
        <v>47</v>
      </c>
      <c r="I30" s="15">
        <f t="shared" si="7"/>
        <v>0.99879999999999991</v>
      </c>
      <c r="J30" s="15">
        <f t="shared" si="8"/>
        <v>0.997</v>
      </c>
      <c r="K30" s="15">
        <f t="shared" si="9"/>
        <v>0.6071428571428571</v>
      </c>
    </row>
    <row r="31" spans="1:11" x14ac:dyDescent="0.3">
      <c r="A31" s="48" t="s">
        <v>93</v>
      </c>
      <c r="B31" s="49">
        <v>45823</v>
      </c>
      <c r="C31" s="50">
        <f t="shared" si="10"/>
        <v>39</v>
      </c>
      <c r="D31" s="23">
        <f t="shared" si="2"/>
        <v>0.99751395444890889</v>
      </c>
      <c r="E31" s="24">
        <f t="shared" si="3"/>
        <v>0.99751395444890889</v>
      </c>
      <c r="F31" s="25">
        <f t="shared" si="4"/>
        <v>3</v>
      </c>
      <c r="G31" s="15">
        <f t="shared" si="5"/>
        <v>19</v>
      </c>
      <c r="H31" s="15">
        <f t="shared" si="6"/>
        <v>47</v>
      </c>
      <c r="I31" s="15">
        <f t="shared" si="7"/>
        <v>0.99879999999999991</v>
      </c>
      <c r="J31" s="15">
        <f t="shared" si="8"/>
        <v>0.997</v>
      </c>
      <c r="K31" s="15">
        <f t="shared" si="9"/>
        <v>0.7142857142857143</v>
      </c>
    </row>
    <row r="32" spans="1:11" x14ac:dyDescent="0.3">
      <c r="A32" s="48" t="s">
        <v>94</v>
      </c>
      <c r="B32" s="49">
        <v>45850</v>
      </c>
      <c r="C32" s="50">
        <f t="shared" si="10"/>
        <v>66</v>
      </c>
      <c r="D32" s="23">
        <f t="shared" si="2"/>
        <v>0.99577821674138578</v>
      </c>
      <c r="E32" s="24">
        <f t="shared" si="3"/>
        <v>0.99577821674138578</v>
      </c>
      <c r="F32" s="25">
        <f t="shared" si="4"/>
        <v>4</v>
      </c>
      <c r="G32" s="15">
        <f t="shared" si="5"/>
        <v>47</v>
      </c>
      <c r="H32" s="15">
        <f t="shared" si="6"/>
        <v>75</v>
      </c>
      <c r="I32" s="15">
        <f t="shared" si="7"/>
        <v>0.997</v>
      </c>
      <c r="J32" s="15">
        <f t="shared" si="8"/>
        <v>0.99519999999999997</v>
      </c>
      <c r="K32" s="15">
        <f t="shared" si="9"/>
        <v>0.6785714285714286</v>
      </c>
    </row>
    <row r="33" spans="1:11" x14ac:dyDescent="0.3">
      <c r="A33" s="48" t="s">
        <v>95</v>
      </c>
      <c r="B33" s="49">
        <v>45853</v>
      </c>
      <c r="C33" s="50">
        <f t="shared" si="10"/>
        <v>69</v>
      </c>
      <c r="D33" s="23">
        <f t="shared" si="2"/>
        <v>0.99558544050976538</v>
      </c>
      <c r="E33" s="24">
        <f t="shared" si="3"/>
        <v>0.99558544050976538</v>
      </c>
      <c r="F33" s="25">
        <f t="shared" si="4"/>
        <v>4</v>
      </c>
      <c r="G33" s="15">
        <f t="shared" si="5"/>
        <v>47</v>
      </c>
      <c r="H33" s="15">
        <f t="shared" si="6"/>
        <v>75</v>
      </c>
      <c r="I33" s="15">
        <f t="shared" si="7"/>
        <v>0.997</v>
      </c>
      <c r="J33" s="15">
        <f t="shared" si="8"/>
        <v>0.99519999999999997</v>
      </c>
      <c r="K33" s="15">
        <f t="shared" si="9"/>
        <v>0.7857142857142857</v>
      </c>
    </row>
    <row r="34" spans="1:11" x14ac:dyDescent="0.3">
      <c r="A34" s="48" t="s">
        <v>96</v>
      </c>
      <c r="B34" s="49">
        <v>45875</v>
      </c>
      <c r="C34" s="50">
        <f t="shared" si="10"/>
        <v>91</v>
      </c>
      <c r="D34" s="23">
        <f t="shared" si="2"/>
        <v>0.9941570812433087</v>
      </c>
      <c r="E34" s="24">
        <f t="shared" si="3"/>
        <v>0.9941570812433087</v>
      </c>
      <c r="F34" s="25">
        <f t="shared" si="4"/>
        <v>6</v>
      </c>
      <c r="G34" s="15">
        <f t="shared" si="5"/>
        <v>89</v>
      </c>
      <c r="H34" s="15">
        <f t="shared" si="6"/>
        <v>103</v>
      </c>
      <c r="I34" s="15">
        <f t="shared" si="7"/>
        <v>0.99430000000000007</v>
      </c>
      <c r="J34" s="15">
        <f t="shared" si="8"/>
        <v>0.99329999999999996</v>
      </c>
      <c r="K34" s="15">
        <f t="shared" si="9"/>
        <v>0.14285714285714285</v>
      </c>
    </row>
    <row r="35" spans="1:11" x14ac:dyDescent="0.3">
      <c r="A35" s="47" t="s">
        <v>97</v>
      </c>
      <c r="B35" s="22">
        <v>45880</v>
      </c>
      <c r="C35" s="31">
        <f t="shared" si="10"/>
        <v>96</v>
      </c>
      <c r="D35" s="23">
        <f t="shared" si="2"/>
        <v>0.99379987422015703</v>
      </c>
      <c r="E35" s="24">
        <f t="shared" si="3"/>
        <v>0.99379987422015703</v>
      </c>
      <c r="F35" s="25">
        <f t="shared" si="4"/>
        <v>6</v>
      </c>
      <c r="G35" s="15">
        <f t="shared" si="5"/>
        <v>89</v>
      </c>
      <c r="H35" s="15">
        <f t="shared" si="6"/>
        <v>103</v>
      </c>
      <c r="I35" s="15">
        <f t="shared" si="7"/>
        <v>0.99430000000000007</v>
      </c>
      <c r="J35" s="15">
        <f t="shared" si="8"/>
        <v>0.99329999999999996</v>
      </c>
      <c r="K35" s="15">
        <f t="shared" si="9"/>
        <v>0.5</v>
      </c>
    </row>
    <row r="36" spans="1:11" x14ac:dyDescent="0.3">
      <c r="A36" s="47" t="s">
        <v>98</v>
      </c>
      <c r="B36" s="22">
        <v>45889</v>
      </c>
      <c r="C36" s="31">
        <f t="shared" si="10"/>
        <v>105</v>
      </c>
      <c r="D36" s="23">
        <f t="shared" si="2"/>
        <v>0.99317137861706339</v>
      </c>
      <c r="E36" s="24">
        <f t="shared" si="3"/>
        <v>0.99317137861706339</v>
      </c>
      <c r="F36" s="25">
        <f t="shared" si="4"/>
        <v>7</v>
      </c>
      <c r="G36" s="15">
        <f t="shared" si="5"/>
        <v>103</v>
      </c>
      <c r="H36" s="15">
        <f t="shared" si="6"/>
        <v>117</v>
      </c>
      <c r="I36" s="15">
        <f t="shared" si="7"/>
        <v>0.99329999999999996</v>
      </c>
      <c r="J36" s="15">
        <f t="shared" si="8"/>
        <v>0.99239999999999995</v>
      </c>
      <c r="K36" s="15">
        <f t="shared" si="9"/>
        <v>0.14285714285714285</v>
      </c>
    </row>
    <row r="37" spans="1:11" x14ac:dyDescent="0.3">
      <c r="A37" s="48" t="s">
        <v>99</v>
      </c>
      <c r="B37" s="49">
        <v>45925</v>
      </c>
      <c r="C37" s="50">
        <f t="shared" si="10"/>
        <v>141</v>
      </c>
      <c r="D37" s="23">
        <f t="shared" si="2"/>
        <v>0.99085126029940551</v>
      </c>
      <c r="E37" s="24">
        <f t="shared" si="3"/>
        <v>0.99085126029940551</v>
      </c>
      <c r="F37" s="25">
        <f t="shared" si="4"/>
        <v>8</v>
      </c>
      <c r="G37" s="15">
        <f t="shared" si="5"/>
        <v>117</v>
      </c>
      <c r="H37" s="15">
        <f t="shared" si="6"/>
        <v>148</v>
      </c>
      <c r="I37" s="15">
        <f t="shared" si="7"/>
        <v>0.99239999999999995</v>
      </c>
      <c r="J37" s="15">
        <f t="shared" si="8"/>
        <v>0.99040000000000006</v>
      </c>
      <c r="K37" s="15">
        <f t="shared" si="9"/>
        <v>0.77419354838709675</v>
      </c>
    </row>
    <row r="38" spans="1:11" x14ac:dyDescent="0.3">
      <c r="A38" s="48" t="s">
        <v>100</v>
      </c>
      <c r="B38" s="49">
        <v>45934</v>
      </c>
      <c r="C38" s="50">
        <f t="shared" si="10"/>
        <v>150</v>
      </c>
      <c r="D38" s="23">
        <f t="shared" si="2"/>
        <v>0.99026662176925551</v>
      </c>
      <c r="E38" s="24">
        <f t="shared" si="3"/>
        <v>0.99026662176925551</v>
      </c>
      <c r="F38" s="25">
        <f t="shared" si="4"/>
        <v>9</v>
      </c>
      <c r="G38" s="15">
        <f t="shared" si="5"/>
        <v>148</v>
      </c>
      <c r="H38" s="15">
        <f t="shared" si="6"/>
        <v>160</v>
      </c>
      <c r="I38" s="15">
        <f t="shared" si="7"/>
        <v>0.99040000000000006</v>
      </c>
      <c r="J38" s="15">
        <f t="shared" si="8"/>
        <v>0.98959999999999992</v>
      </c>
      <c r="K38" s="15">
        <f t="shared" si="9"/>
        <v>0.16666666666666666</v>
      </c>
    </row>
    <row r="39" spans="1:11" x14ac:dyDescent="0.3">
      <c r="A39" s="48" t="s">
        <v>101</v>
      </c>
      <c r="B39" s="49">
        <v>45978</v>
      </c>
      <c r="C39" s="50">
        <f t="shared" si="10"/>
        <v>194</v>
      </c>
      <c r="D39" s="23">
        <f t="shared" si="2"/>
        <v>0.98733684084566498</v>
      </c>
      <c r="E39" s="24">
        <f t="shared" si="3"/>
        <v>0.98733684084566498</v>
      </c>
      <c r="F39" s="25">
        <f t="shared" si="4"/>
        <v>9</v>
      </c>
      <c r="G39" s="15">
        <f t="shared" si="5"/>
        <v>148</v>
      </c>
      <c r="H39" s="15">
        <f t="shared" si="6"/>
        <v>160</v>
      </c>
      <c r="I39" s="15">
        <f t="shared" si="7"/>
        <v>0.99040000000000006</v>
      </c>
      <c r="J39" s="15">
        <f t="shared" si="8"/>
        <v>0.98959999999999992</v>
      </c>
      <c r="K39" s="15">
        <f t="shared" si="9"/>
        <v>3.8333333333333335</v>
      </c>
    </row>
    <row r="40" spans="1:11" x14ac:dyDescent="0.3">
      <c r="A40" s="48" t="s">
        <v>102</v>
      </c>
      <c r="B40" s="49">
        <v>46132</v>
      </c>
      <c r="C40" s="50">
        <f t="shared" si="10"/>
        <v>348</v>
      </c>
      <c r="D40" s="23">
        <f t="shared" si="2"/>
        <v>0.97715069988721337</v>
      </c>
      <c r="E40" s="24">
        <f t="shared" si="3"/>
        <v>0.97715069988721337</v>
      </c>
      <c r="F40" s="25">
        <f t="shared" si="4"/>
        <v>9</v>
      </c>
      <c r="G40" s="15">
        <f t="shared" si="5"/>
        <v>148</v>
      </c>
      <c r="H40" s="15">
        <f t="shared" si="6"/>
        <v>160</v>
      </c>
      <c r="I40" s="15">
        <f t="shared" si="7"/>
        <v>0.99040000000000006</v>
      </c>
      <c r="J40" s="15">
        <f t="shared" si="8"/>
        <v>0.98959999999999992</v>
      </c>
      <c r="K40" s="15">
        <f t="shared" si="9"/>
        <v>16.666666666666668</v>
      </c>
    </row>
    <row r="41" spans="1:11" x14ac:dyDescent="0.3">
      <c r="A41" s="48" t="s">
        <v>91</v>
      </c>
      <c r="B41" s="49">
        <v>46178</v>
      </c>
      <c r="C41" s="50">
        <f t="shared" si="10"/>
        <v>394</v>
      </c>
      <c r="D41" s="44">
        <f t="shared" si="2"/>
        <v>0.97412851883761276</v>
      </c>
      <c r="E41" s="46">
        <f t="shared" si="3"/>
        <v>0.97412851883761276</v>
      </c>
      <c r="F41" s="5">
        <f t="shared" si="4"/>
        <v>9</v>
      </c>
      <c r="G41">
        <f t="shared" si="5"/>
        <v>148</v>
      </c>
      <c r="H41">
        <f t="shared" si="6"/>
        <v>160</v>
      </c>
      <c r="I41">
        <f t="shared" si="7"/>
        <v>0.99040000000000006</v>
      </c>
      <c r="J41">
        <f t="shared" si="8"/>
        <v>0.98959999999999992</v>
      </c>
      <c r="K41">
        <f t="shared" si="9"/>
        <v>20.5</v>
      </c>
    </row>
    <row r="42" spans="1:11" x14ac:dyDescent="0.3">
      <c r="A42" s="48" t="s">
        <v>95</v>
      </c>
      <c r="B42" s="49">
        <v>46218</v>
      </c>
      <c r="C42" s="50">
        <f t="shared" si="10"/>
        <v>434</v>
      </c>
      <c r="D42" s="44">
        <f t="shared" si="2"/>
        <v>0.97150813421465299</v>
      </c>
      <c r="E42" s="46">
        <f t="shared" si="3"/>
        <v>0.97150813421465299</v>
      </c>
      <c r="F42" s="5">
        <f t="shared" si="4"/>
        <v>9</v>
      </c>
      <c r="G42">
        <f t="shared" si="5"/>
        <v>148</v>
      </c>
      <c r="H42">
        <f t="shared" si="6"/>
        <v>160</v>
      </c>
      <c r="I42">
        <f t="shared" si="7"/>
        <v>0.99040000000000006</v>
      </c>
      <c r="J42">
        <f t="shared" si="8"/>
        <v>0.98959999999999992</v>
      </c>
      <c r="K42">
        <f t="shared" si="9"/>
        <v>23.833333333333332</v>
      </c>
    </row>
    <row r="43" spans="1:11" x14ac:dyDescent="0.3">
      <c r="A43" s="48" t="s">
        <v>95</v>
      </c>
      <c r="B43" s="49">
        <v>46583</v>
      </c>
      <c r="C43" s="50">
        <f t="shared" si="10"/>
        <v>799</v>
      </c>
      <c r="D43" s="44">
        <f t="shared" si="2"/>
        <v>0.9479203840953061</v>
      </c>
      <c r="E43" s="46">
        <f t="shared" si="3"/>
        <v>0.9479203840953061</v>
      </c>
      <c r="F43" s="5">
        <f t="shared" si="4"/>
        <v>9</v>
      </c>
      <c r="G43">
        <f t="shared" si="5"/>
        <v>148</v>
      </c>
      <c r="H43">
        <f t="shared" si="6"/>
        <v>160</v>
      </c>
      <c r="I43">
        <f t="shared" si="7"/>
        <v>0.99040000000000006</v>
      </c>
      <c r="J43">
        <f t="shared" si="8"/>
        <v>0.98959999999999992</v>
      </c>
      <c r="K43">
        <f t="shared" si="9"/>
        <v>54.25</v>
      </c>
    </row>
    <row r="44" spans="1:11" x14ac:dyDescent="0.3">
      <c r="A44" s="48" t="s">
        <v>95</v>
      </c>
      <c r="B44" s="49">
        <v>46949</v>
      </c>
      <c r="C44" s="50">
        <f t="shared" si="10"/>
        <v>1165</v>
      </c>
      <c r="D44" s="44">
        <f t="shared" si="2"/>
        <v>0.92484305210733031</v>
      </c>
      <c r="E44" s="46">
        <f t="shared" si="3"/>
        <v>0.92484305210733031</v>
      </c>
      <c r="F44" s="5">
        <f t="shared" si="4"/>
        <v>9</v>
      </c>
      <c r="G44">
        <f t="shared" si="5"/>
        <v>148</v>
      </c>
      <c r="H44">
        <f t="shared" si="6"/>
        <v>160</v>
      </c>
      <c r="I44">
        <f t="shared" si="7"/>
        <v>0.99040000000000006</v>
      </c>
      <c r="J44">
        <f t="shared" si="8"/>
        <v>0.98959999999999992</v>
      </c>
      <c r="K44">
        <f t="shared" si="9"/>
        <v>84.75</v>
      </c>
    </row>
    <row r="45" spans="1:11" x14ac:dyDescent="0.3">
      <c r="A45" s="48" t="s">
        <v>95</v>
      </c>
      <c r="B45" s="49">
        <v>47314</v>
      </c>
      <c r="C45" s="50">
        <f t="shared" si="10"/>
        <v>1530</v>
      </c>
      <c r="D45" s="44">
        <f t="shared" si="2"/>
        <v>0.90238830773161127</v>
      </c>
      <c r="E45" s="46">
        <f t="shared" si="3"/>
        <v>0.90238830773161127</v>
      </c>
      <c r="F45" s="5">
        <f t="shared" si="4"/>
        <v>9</v>
      </c>
      <c r="G45">
        <f t="shared" si="5"/>
        <v>148</v>
      </c>
      <c r="H45">
        <f t="shared" si="6"/>
        <v>160</v>
      </c>
      <c r="I45">
        <f t="shared" si="7"/>
        <v>0.99040000000000006</v>
      </c>
      <c r="J45">
        <f t="shared" si="8"/>
        <v>0.98959999999999992</v>
      </c>
      <c r="K45">
        <f t="shared" si="9"/>
        <v>115.16666666666667</v>
      </c>
    </row>
    <row r="46" spans="1:11" x14ac:dyDescent="0.3">
      <c r="A46" s="48" t="s">
        <v>95</v>
      </c>
      <c r="B46" s="49">
        <v>47588</v>
      </c>
      <c r="C46" s="50">
        <f t="shared" si="10"/>
        <v>1804</v>
      </c>
      <c r="D46" s="44">
        <f t="shared" si="2"/>
        <v>0.88589084597964396</v>
      </c>
      <c r="E46" s="46">
        <f t="shared" si="3"/>
        <v>0.88589084597964396</v>
      </c>
      <c r="F46" s="5">
        <f t="shared" si="4"/>
        <v>9</v>
      </c>
      <c r="G46">
        <f t="shared" si="5"/>
        <v>148</v>
      </c>
      <c r="H46">
        <f t="shared" si="6"/>
        <v>160</v>
      </c>
      <c r="I46">
        <f t="shared" si="7"/>
        <v>0.99040000000000006</v>
      </c>
      <c r="J46">
        <f t="shared" si="8"/>
        <v>0.98959999999999992</v>
      </c>
      <c r="K46">
        <f t="shared" si="9"/>
        <v>138</v>
      </c>
    </row>
  </sheetData>
  <mergeCells count="4">
    <mergeCell ref="A2:K2"/>
    <mergeCell ref="A11:F11"/>
    <mergeCell ref="A1:K1"/>
    <mergeCell ref="A26:E26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9"/>
  <sheetViews>
    <sheetView showGridLines="0" topLeftCell="A15" workbookViewId="0">
      <selection activeCell="I18" sqref="I18"/>
    </sheetView>
  </sheetViews>
  <sheetFormatPr baseColWidth="10" defaultColWidth="8.88671875" defaultRowHeight="14.4" x14ac:dyDescent="0.3"/>
  <cols>
    <col min="1" max="1" width="22" customWidth="1"/>
    <col min="2" max="2" width="18" customWidth="1"/>
    <col min="3" max="3" width="16" customWidth="1"/>
    <col min="4" max="4" width="24" customWidth="1"/>
    <col min="5" max="5" width="20" customWidth="1"/>
    <col min="6" max="6" width="24" customWidth="1"/>
    <col min="7" max="8" width="18" customWidth="1"/>
    <col min="9" max="10" width="24" customWidth="1"/>
    <col min="11" max="12" width="18" customWidth="1"/>
    <col min="13" max="14" width="22" customWidth="1"/>
  </cols>
  <sheetData>
    <row r="1" spans="1:14" x14ac:dyDescent="0.3">
      <c r="A1" s="38" t="s">
        <v>103</v>
      </c>
      <c r="B1" s="39"/>
      <c r="C1" s="39"/>
      <c r="D1" s="39"/>
      <c r="E1" s="39"/>
      <c r="F1" s="39"/>
      <c r="G1" s="39"/>
      <c r="H1" s="39"/>
      <c r="I1" s="39"/>
      <c r="J1" s="39"/>
    </row>
    <row r="2" spans="1:14" x14ac:dyDescent="0.3">
      <c r="A2" s="40" t="s">
        <v>104</v>
      </c>
      <c r="B2" s="39"/>
      <c r="C2" s="39"/>
      <c r="D2" s="39"/>
      <c r="E2" s="39"/>
      <c r="F2" s="39"/>
      <c r="G2" s="39"/>
      <c r="H2" s="39"/>
      <c r="I2" s="39"/>
      <c r="J2" s="39"/>
    </row>
    <row r="4" spans="1:14" x14ac:dyDescent="0.3">
      <c r="A4" s="41" t="s">
        <v>105</v>
      </c>
      <c r="B4" s="42"/>
      <c r="C4" s="42"/>
      <c r="D4" s="42"/>
      <c r="E4" s="42"/>
      <c r="F4" s="42"/>
      <c r="G4" s="14"/>
      <c r="H4" s="14"/>
      <c r="I4" s="14"/>
      <c r="J4" s="14"/>
      <c r="K4" s="14"/>
      <c r="L4" s="14"/>
      <c r="M4" s="14"/>
      <c r="N4" s="14"/>
    </row>
    <row r="5" spans="1:14" ht="28.8" x14ac:dyDescent="0.3">
      <c r="A5" s="13" t="s">
        <v>15</v>
      </c>
      <c r="B5" s="13" t="s">
        <v>16</v>
      </c>
      <c r="C5" s="13" t="s">
        <v>106</v>
      </c>
      <c r="D5" s="13" t="s">
        <v>107</v>
      </c>
      <c r="E5" s="13" t="s">
        <v>108</v>
      </c>
      <c r="F5" s="13" t="s">
        <v>109</v>
      </c>
      <c r="G5" s="14"/>
      <c r="H5" s="14"/>
      <c r="I5" s="14"/>
      <c r="J5" s="14"/>
      <c r="K5" s="14"/>
      <c r="L5" s="14"/>
      <c r="M5" s="14"/>
      <c r="N5" s="14"/>
    </row>
    <row r="6" spans="1:14" x14ac:dyDescent="0.3">
      <c r="A6" s="48" t="s">
        <v>24</v>
      </c>
      <c r="B6" s="45" t="s">
        <v>25</v>
      </c>
      <c r="C6" s="49">
        <v>45978</v>
      </c>
      <c r="D6" s="46">
        <v>1.0389999999999999</v>
      </c>
      <c r="E6" s="24">
        <f>INDEX(MARKET_DATA!$D$28:$D$46,MATCH(C6,MARKET_DATA!$B$28:$B$46,0))</f>
        <v>0.98733684084566498</v>
      </c>
      <c r="F6" s="44">
        <f t="shared" ref="F6:F15" si="0">D6*E6*100</f>
        <v>102.58429776386457</v>
      </c>
    </row>
    <row r="7" spans="1:14" x14ac:dyDescent="0.3">
      <c r="A7" s="48" t="s">
        <v>27</v>
      </c>
      <c r="B7" s="45" t="s">
        <v>28</v>
      </c>
      <c r="C7" s="49">
        <v>46132</v>
      </c>
      <c r="D7" s="46">
        <v>1.0205</v>
      </c>
      <c r="E7" s="24">
        <f>INDEX(MARKET_DATA!$D$28:$D$46,MATCH(C7,MARKET_DATA!$B$28:$B$46,0))</f>
        <v>0.97715069988721337</v>
      </c>
      <c r="F7" s="44">
        <f t="shared" si="0"/>
        <v>99.718228923490116</v>
      </c>
    </row>
    <row r="8" spans="1:14" x14ac:dyDescent="0.3">
      <c r="A8" s="48" t="s">
        <v>30</v>
      </c>
      <c r="B8" s="45" t="s">
        <v>31</v>
      </c>
      <c r="C8" s="49">
        <v>45813</v>
      </c>
      <c r="D8" s="46">
        <v>5.1499999999999997E-2</v>
      </c>
      <c r="E8" s="24">
        <f>INDEX(MARKET_DATA!$D$28:$D$46,MATCH(C8,MARKET_DATA!$B$28:$B$46,0))</f>
        <v>0.99815677010355952</v>
      </c>
      <c r="F8" s="44">
        <f t="shared" si="0"/>
        <v>5.1405073660333311</v>
      </c>
    </row>
    <row r="9" spans="1:14" x14ac:dyDescent="0.3">
      <c r="A9" s="48" t="s">
        <v>30</v>
      </c>
      <c r="B9" s="45" t="s">
        <v>31</v>
      </c>
      <c r="C9" s="49">
        <v>46178</v>
      </c>
      <c r="D9" s="46">
        <v>1.0515000000000001</v>
      </c>
      <c r="E9" s="24">
        <f>INDEX(MARKET_DATA!$D$28:$D$46,MATCH(C9,MARKET_DATA!$B$28:$B$46,0))</f>
        <v>0.97412851883761276</v>
      </c>
      <c r="F9" s="44">
        <f t="shared" si="0"/>
        <v>102.42961375577499</v>
      </c>
    </row>
    <row r="10" spans="1:14" x14ac:dyDescent="0.3">
      <c r="A10" s="48" t="s">
        <v>33</v>
      </c>
      <c r="B10" s="45" t="s">
        <v>34</v>
      </c>
      <c r="C10" s="49">
        <v>45853</v>
      </c>
      <c r="D10" s="46">
        <v>3.3000000000000002E-2</v>
      </c>
      <c r="E10" s="24">
        <f>INDEX(MARKET_DATA!$D$28:$D$46,MATCH(C10,MARKET_DATA!$B$28:$B$46,0))</f>
        <v>0.99558544050976538</v>
      </c>
      <c r="F10" s="44">
        <f t="shared" si="0"/>
        <v>3.2854319536822261</v>
      </c>
    </row>
    <row r="11" spans="1:14" x14ac:dyDescent="0.3">
      <c r="A11" s="47" t="s">
        <v>33</v>
      </c>
      <c r="B11" s="14" t="s">
        <v>34</v>
      </c>
      <c r="C11" s="49">
        <v>46218</v>
      </c>
      <c r="D11" s="46">
        <v>3.3000000000000002E-2</v>
      </c>
      <c r="E11" s="24">
        <f>INDEX(MARKET_DATA!$D$28:$D$46,MATCH(C11,MARKET_DATA!$B$28:$B$46,0))</f>
        <v>0.97150813421465299</v>
      </c>
      <c r="F11" s="23">
        <f t="shared" si="0"/>
        <v>3.2059768429083548</v>
      </c>
    </row>
    <row r="12" spans="1:14" x14ac:dyDescent="0.3">
      <c r="A12" s="47" t="s">
        <v>33</v>
      </c>
      <c r="B12" s="14" t="s">
        <v>34</v>
      </c>
      <c r="C12" s="22">
        <v>46583</v>
      </c>
      <c r="D12" s="24">
        <v>3.3000000000000002E-2</v>
      </c>
      <c r="E12" s="24">
        <f>INDEX(MARKET_DATA!$D$28:$D$46,MATCH(C12,MARKET_DATA!$B$28:$B$46,0))</f>
        <v>0.9479203840953061</v>
      </c>
      <c r="F12" s="23">
        <f t="shared" si="0"/>
        <v>3.1281372675145103</v>
      </c>
      <c r="G12" s="14"/>
      <c r="H12" s="14"/>
      <c r="I12" s="14"/>
      <c r="J12" s="14"/>
      <c r="K12" s="14"/>
      <c r="L12" s="14"/>
      <c r="M12" s="14"/>
      <c r="N12" s="14"/>
    </row>
    <row r="13" spans="1:14" x14ac:dyDescent="0.3">
      <c r="A13" s="47" t="s">
        <v>33</v>
      </c>
      <c r="B13" s="14" t="s">
        <v>34</v>
      </c>
      <c r="C13" s="22">
        <v>46949</v>
      </c>
      <c r="D13" s="24">
        <v>3.3000000000000002E-2</v>
      </c>
      <c r="E13" s="24">
        <f>INDEX(MARKET_DATA!$D$28:$D$46,MATCH(C13,MARKET_DATA!$B$28:$B$46,0))</f>
        <v>0.92484305210733031</v>
      </c>
      <c r="F13" s="23">
        <f t="shared" si="0"/>
        <v>3.0519820719541899</v>
      </c>
      <c r="G13" s="14"/>
      <c r="H13" s="14"/>
      <c r="I13" s="14"/>
      <c r="J13" s="14"/>
      <c r="K13" s="14"/>
      <c r="L13" s="14"/>
      <c r="M13" s="14"/>
      <c r="N13" s="14"/>
    </row>
    <row r="14" spans="1:14" x14ac:dyDescent="0.3">
      <c r="A14" s="48" t="s">
        <v>33</v>
      </c>
      <c r="B14" s="45" t="s">
        <v>34</v>
      </c>
      <c r="C14" s="49">
        <v>47314</v>
      </c>
      <c r="D14" s="46">
        <v>3.3000000000000002E-2</v>
      </c>
      <c r="E14" s="24">
        <f>INDEX(MARKET_DATA!$D$28:$D$46,MATCH(C14,MARKET_DATA!$B$28:$B$46,0))</f>
        <v>0.90238830773161127</v>
      </c>
      <c r="F14" s="44">
        <f t="shared" si="0"/>
        <v>2.9778814155143172</v>
      </c>
    </row>
    <row r="15" spans="1:14" x14ac:dyDescent="0.3">
      <c r="A15" s="48" t="s">
        <v>33</v>
      </c>
      <c r="B15" s="45" t="s">
        <v>34</v>
      </c>
      <c r="C15" s="49">
        <v>47588</v>
      </c>
      <c r="D15" s="46">
        <v>1.0329999999999999</v>
      </c>
      <c r="E15" s="24">
        <f>INDEX(MARKET_DATA!$D$28:$D$46,MATCH(C15,MARKET_DATA!$B$28:$B$46,0))</f>
        <v>0.88589084597964396</v>
      </c>
      <c r="F15" s="44">
        <f t="shared" si="0"/>
        <v>91.512524389697219</v>
      </c>
    </row>
    <row r="18" spans="1:14" x14ac:dyDescent="0.3">
      <c r="A18" s="41" t="s">
        <v>110</v>
      </c>
      <c r="B18" s="42"/>
      <c r="C18" s="42"/>
      <c r="D18" s="42"/>
      <c r="E18" s="42"/>
      <c r="F18" s="42"/>
      <c r="G18" s="42"/>
      <c r="H18" s="14"/>
      <c r="I18" s="14"/>
      <c r="J18" s="14"/>
      <c r="K18" s="14"/>
      <c r="L18" s="14"/>
      <c r="M18" s="14"/>
      <c r="N18" s="14"/>
    </row>
    <row r="19" spans="1:14" ht="43.2" x14ac:dyDescent="0.3">
      <c r="A19" s="13" t="s">
        <v>15</v>
      </c>
      <c r="B19" s="13" t="s">
        <v>23</v>
      </c>
      <c r="C19" s="13" t="s">
        <v>111</v>
      </c>
      <c r="D19" s="13" t="s">
        <v>112</v>
      </c>
      <c r="E19" s="13" t="s">
        <v>21</v>
      </c>
      <c r="F19" s="13" t="s">
        <v>22</v>
      </c>
      <c r="G19" s="13" t="s">
        <v>113</v>
      </c>
      <c r="H19" s="14"/>
      <c r="I19" s="14"/>
      <c r="J19" s="14"/>
      <c r="K19" s="14"/>
      <c r="L19" s="14"/>
      <c r="M19" s="14"/>
      <c r="N19" s="14"/>
    </row>
    <row r="20" spans="1:14" x14ac:dyDescent="0.3">
      <c r="A20" s="47" t="s">
        <v>24</v>
      </c>
      <c r="B20" s="32">
        <f>INDEX(PORTFOLIO!$I$13:$I$16,MATCH(A20,PORTFOLIO!$A$13:$A$16,0))</f>
        <v>102.5971</v>
      </c>
      <c r="C20" s="32">
        <f>SUMIF($A$6:$A$15,A20,$F$6:$F$15)</f>
        <v>102.58429776386457</v>
      </c>
      <c r="D20" s="32">
        <f>IF(PORTFOLIO!$B$6="N1",B20,C20)</f>
        <v>102.58429776386457</v>
      </c>
      <c r="E20" s="33">
        <f>INDEX(PORTFOLIO!$G$13:$G$16,MATCH(A20,PORTFOLIO!$A$13:$A$16,0))</f>
        <v>1</v>
      </c>
      <c r="F20" s="34">
        <f>INDEX(PORTFOLIO!$H$13:$H$16,MATCH(A20,PORTFOLIO!$A$13:$A$16,0))</f>
        <v>300</v>
      </c>
      <c r="G20" s="35">
        <f>E20*F20*D20/100</f>
        <v>307.75289329159369</v>
      </c>
      <c r="H20" s="14"/>
      <c r="I20" s="14"/>
      <c r="J20" s="14"/>
      <c r="K20" s="14"/>
      <c r="L20" s="14"/>
      <c r="M20" s="14"/>
      <c r="N20" s="14"/>
    </row>
    <row r="21" spans="1:14" x14ac:dyDescent="0.3">
      <c r="A21" s="48" t="s">
        <v>27</v>
      </c>
      <c r="B21" s="32">
        <f>INDEX(PORTFOLIO!$I$13:$I$16,MATCH(A21,PORTFOLIO!$A$13:$A$16,0))</f>
        <v>99.805400000000006</v>
      </c>
      <c r="C21" s="32">
        <f>SUMIF($A$6:$A$15,A21,$F$6:$F$15)</f>
        <v>99.718228923490116</v>
      </c>
      <c r="D21" s="32">
        <f>IF(PORTFOLIO!$B$6="N1",B21,C21)</f>
        <v>99.718228923490116</v>
      </c>
      <c r="E21" s="33">
        <f>INDEX(PORTFOLIO!$G$13:$G$16,MATCH(A21,PORTFOLIO!$A$13:$A$16,0))</f>
        <v>-1</v>
      </c>
      <c r="F21" s="34">
        <f>INDEX(PORTFOLIO!$H$13:$H$16,MATCH(A21,PORTFOLIO!$A$13:$A$16,0))</f>
        <v>100</v>
      </c>
      <c r="G21" s="11">
        <f>E21*F21*D21/100</f>
        <v>-99.718228923490116</v>
      </c>
    </row>
    <row r="22" spans="1:14" x14ac:dyDescent="0.3">
      <c r="A22" s="48" t="s">
        <v>30</v>
      </c>
      <c r="B22" s="32">
        <f>INDEX(PORTFOLIO!$I$13:$I$16,MATCH(A22,PORTFOLIO!$A$13:$A$16,0))</f>
        <v>107.6508</v>
      </c>
      <c r="C22" s="32">
        <f>SUMIF($A$6:$A$15,A22,$F$6:$F$15)</f>
        <v>107.57012112180833</v>
      </c>
      <c r="D22" s="32">
        <f>IF(PORTFOLIO!$B$6="N1",B22,C22)</f>
        <v>107.57012112180833</v>
      </c>
      <c r="E22" s="33">
        <f>INDEX(PORTFOLIO!$G$13:$G$16,MATCH(A22,PORTFOLIO!$A$13:$A$16,0))</f>
        <v>1</v>
      </c>
      <c r="F22" s="34">
        <f>INDEX(PORTFOLIO!$H$13:$H$16,MATCH(A22,PORTFOLIO!$A$13:$A$16,0))</f>
        <v>200</v>
      </c>
      <c r="G22" s="11">
        <f>E22*F22*D22/100</f>
        <v>215.14024224361665</v>
      </c>
    </row>
    <row r="23" spans="1:14" x14ac:dyDescent="0.3">
      <c r="A23" s="48" t="s">
        <v>33</v>
      </c>
      <c r="B23" s="32">
        <f>INDEX(PORTFOLIO!$I$13:$I$16,MATCH(A23,PORTFOLIO!$A$13:$A$16,0))</f>
        <v>105.5471</v>
      </c>
      <c r="C23" s="32">
        <f>SUMIF($A$6:$A$15,A23,$F$6:$F$15)</f>
        <v>107.16193394127082</v>
      </c>
      <c r="D23" s="32">
        <f>IF(PORTFOLIO!$B$6="N1",B23,C23)</f>
        <v>107.16193394127082</v>
      </c>
      <c r="E23" s="33">
        <f>INDEX(PORTFOLIO!$G$13:$G$16,MATCH(A23,PORTFOLIO!$A$13:$A$16,0))</f>
        <v>-1</v>
      </c>
      <c r="F23" s="34">
        <f>INDEX(PORTFOLIO!$H$13:$H$16,MATCH(A23,PORTFOLIO!$A$13:$A$16,0))</f>
        <v>300</v>
      </c>
      <c r="G23" s="11">
        <f>E23*F23*D23/100</f>
        <v>-321.48580182381244</v>
      </c>
    </row>
    <row r="26" spans="1:14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x14ac:dyDescent="0.3">
      <c r="A27" s="41" t="s">
        <v>114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</row>
    <row r="28" spans="1:14" ht="28.8" x14ac:dyDescent="0.3">
      <c r="A28" s="18" t="s">
        <v>37</v>
      </c>
      <c r="B28" s="13" t="s">
        <v>39</v>
      </c>
      <c r="C28" s="13" t="s">
        <v>21</v>
      </c>
      <c r="D28" s="13" t="s">
        <v>40</v>
      </c>
      <c r="E28" s="13" t="s">
        <v>41</v>
      </c>
      <c r="F28" s="13" t="s">
        <v>42</v>
      </c>
      <c r="G28" s="18" t="s">
        <v>115</v>
      </c>
      <c r="H28" s="13" t="s">
        <v>44</v>
      </c>
      <c r="I28" s="13" t="s">
        <v>45</v>
      </c>
      <c r="J28" s="13" t="s">
        <v>116</v>
      </c>
      <c r="K28" s="18" t="s">
        <v>117</v>
      </c>
      <c r="L28" s="13" t="s">
        <v>118</v>
      </c>
      <c r="M28" s="13" t="s">
        <v>119</v>
      </c>
      <c r="N28" s="13" t="s">
        <v>120</v>
      </c>
    </row>
    <row r="29" spans="1:14" x14ac:dyDescent="0.3">
      <c r="A29" t="s">
        <v>46</v>
      </c>
      <c r="B29" t="s">
        <v>24</v>
      </c>
      <c r="C29" s="15">
        <f>INDEX(PORTFOLIO!$D$20:$D$22,MATCH(A29,PORTFOLIO!$A$20:$A$22,0))</f>
        <v>1</v>
      </c>
      <c r="D29" s="36">
        <f>INDEX(PORTFOLIO!$E$20:$E$22,MATCH(A29,PORTFOLIO!$A$20:$A$22,0))</f>
        <v>200</v>
      </c>
      <c r="E29" s="21">
        <f>INDEX(PORTFOLIO!$F$20:$F$22,MATCH(A29,PORTFOLIO!$A$20:$A$22,0))</f>
        <v>45784</v>
      </c>
      <c r="F29" s="21">
        <f>INDEX(PORTFOLIO!$G$20:$G$22,MATCH(A29,PORTFOLIO!$A$20:$A$22,0))</f>
        <v>45820</v>
      </c>
      <c r="G29" s="25">
        <f>INDEX(PORTFOLIO!$H$20:$H$22,MATCH(A29,PORTFOLIO!$A$20:$A$22,0))</f>
        <v>0.02</v>
      </c>
      <c r="H29" s="25">
        <f>INDEX(PORTFOLIO!$I$20:$I$22,MATCH(A29,PORTFOLIO!$A$20:$A$22,0))</f>
        <v>2.5000000000000001E-2</v>
      </c>
      <c r="I29" s="32">
        <f>INDEX(PORTFOLIO!$J$20:$J$22,MATCH(A29,PORTFOLIO!$A$20:$A$22,0))</f>
        <v>102.5971</v>
      </c>
      <c r="J29" s="32">
        <f>INDEX($D$20:$D$23,MATCH(B29,$A$20:$A$23,0))</f>
        <v>102.58429776386457</v>
      </c>
      <c r="K29" s="26">
        <f>INDEX(MARKET_DATA!$E$28:$E$46,MATCH(F29,MARKET_DATA!$B$28:$B$46,0))</f>
        <v>0.99770675566579248</v>
      </c>
      <c r="L29" s="36">
        <f>D29*I29/100*(1-G29)</f>
        <v>201.090316</v>
      </c>
      <c r="M29" s="36">
        <f>L29*(1+H29*((F29-E29)/360))</f>
        <v>201.59304179</v>
      </c>
      <c r="N29" s="36">
        <f>C29*(D29*J29/100-M29*K29)</f>
        <v>4.0378558386296959</v>
      </c>
    </row>
    <row r="30" spans="1:14" x14ac:dyDescent="0.3">
      <c r="A30" t="s">
        <v>47</v>
      </c>
      <c r="B30" t="s">
        <v>27</v>
      </c>
      <c r="C30" s="15">
        <f>INDEX(PORTFOLIO!$D$20:$D$22,MATCH(A30,PORTFOLIO!$A$20:$A$22,0))</f>
        <v>-1</v>
      </c>
      <c r="D30" s="36">
        <f>INDEX(PORTFOLIO!$E$20:$E$22,MATCH(A30,PORTFOLIO!$A$20:$A$22,0))</f>
        <v>300</v>
      </c>
      <c r="E30" s="21">
        <f>INDEX(PORTFOLIO!$F$20:$F$22,MATCH(A30,PORTFOLIO!$A$20:$A$22,0))</f>
        <v>45784</v>
      </c>
      <c r="F30" s="21">
        <f>INDEX(PORTFOLIO!$G$20:$G$22,MATCH(A30,PORTFOLIO!$A$20:$A$22,0))</f>
        <v>45823</v>
      </c>
      <c r="G30" s="25">
        <f>INDEX(PORTFOLIO!$H$20:$H$22,MATCH(A30,PORTFOLIO!$A$20:$A$22,0))</f>
        <v>0.02</v>
      </c>
      <c r="H30" s="25">
        <f>INDEX(PORTFOLIO!$I$20:$I$22,MATCH(A30,PORTFOLIO!$A$20:$A$22,0))</f>
        <v>2.4E-2</v>
      </c>
      <c r="I30" s="32">
        <f>INDEX(PORTFOLIO!$J$20:$J$22,MATCH(A30,PORTFOLIO!$A$20:$A$22,0))</f>
        <v>99.805400000000006</v>
      </c>
      <c r="J30" s="32">
        <f>INDEX($D$20:$D$23,MATCH(B30,$A$20:$A$23,0))</f>
        <v>99.718228923490116</v>
      </c>
      <c r="K30" s="26">
        <f>INDEX(MARKET_DATA!$E$28:$E$46,MATCH(F30,MARKET_DATA!$B$28:$B$46,0))</f>
        <v>0.99751395444890889</v>
      </c>
      <c r="L30" s="36">
        <f>D30*I30/100*(1-G30)</f>
        <v>293.42787600000003</v>
      </c>
      <c r="M30" s="36">
        <f>L30*(1+H30*((F30-E30)/360))</f>
        <v>294.19078847759999</v>
      </c>
      <c r="N30" s="36">
        <f>C30*(D30*J30/100-M30*K30)</f>
        <v>-5.6952699937370426</v>
      </c>
    </row>
    <row r="31" spans="1:14" x14ac:dyDescent="0.3">
      <c r="A31" t="s">
        <v>48</v>
      </c>
      <c r="B31" t="s">
        <v>30</v>
      </c>
      <c r="C31" s="15">
        <f>INDEX(PORTFOLIO!$D$20:$D$22,MATCH(A31,PORTFOLIO!$A$20:$A$22,0))</f>
        <v>1</v>
      </c>
      <c r="D31" s="36">
        <f>INDEX(PORTFOLIO!$E$20:$E$22,MATCH(A31,PORTFOLIO!$A$20:$A$22,0))</f>
        <v>300</v>
      </c>
      <c r="E31" s="21">
        <f>INDEX(PORTFOLIO!$F$20:$F$22,MATCH(A31,PORTFOLIO!$A$20:$A$22,0))</f>
        <v>45784</v>
      </c>
      <c r="F31" s="21">
        <f>INDEX(PORTFOLIO!$G$20:$G$22,MATCH(A31,PORTFOLIO!$A$20:$A$22,0))</f>
        <v>45805</v>
      </c>
      <c r="G31" s="25">
        <f>INDEX(PORTFOLIO!$H$20:$H$22,MATCH(A31,PORTFOLIO!$A$20:$A$22,0))</f>
        <v>0.02</v>
      </c>
      <c r="H31" s="25">
        <f>INDEX(PORTFOLIO!$I$20:$I$22,MATCH(A31,PORTFOLIO!$A$20:$A$22,0))</f>
        <v>2.3E-2</v>
      </c>
      <c r="I31" s="32">
        <f>INDEX(PORTFOLIO!$J$20:$J$22,MATCH(A31,PORTFOLIO!$A$20:$A$22,0))</f>
        <v>107.6508</v>
      </c>
      <c r="J31" s="32">
        <f>INDEX($D$20:$D$23,MATCH(B31,$A$20:$A$23,0))</f>
        <v>107.57012112180833</v>
      </c>
      <c r="K31" s="26">
        <f>INDEX(MARKET_DATA!$E$28:$E$46,MATCH(F31,MARKET_DATA!$B$28:$B$46,0))</f>
        <v>0.99867132086855781</v>
      </c>
      <c r="L31" s="36">
        <f>D31*I31/100*(1-G31)</f>
        <v>316.49335200000002</v>
      </c>
      <c r="M31" s="36">
        <f>L31*(1+H31*((F31-E31)/360))</f>
        <v>316.91798058059999</v>
      </c>
      <c r="N31" s="36">
        <f>C31*(D31*J31/100-M31*K31)</f>
        <v>6.2134650920011723</v>
      </c>
    </row>
    <row r="35" spans="1:14" x14ac:dyDescent="0.3">
      <c r="A35" s="41" t="s">
        <v>121</v>
      </c>
      <c r="B35" s="42"/>
      <c r="C35" s="42"/>
      <c r="D35" s="42"/>
      <c r="E35" s="42"/>
      <c r="F35" s="42"/>
      <c r="G35" s="42"/>
      <c r="H35" s="42"/>
      <c r="I35" s="42"/>
      <c r="J35" s="42"/>
      <c r="K35" s="14"/>
      <c r="L35" s="14"/>
      <c r="M35" s="14"/>
      <c r="N35" s="14"/>
    </row>
    <row r="36" spans="1:14" ht="28.8" x14ac:dyDescent="0.3">
      <c r="A36" s="13" t="s">
        <v>50</v>
      </c>
      <c r="B36" s="13" t="s">
        <v>21</v>
      </c>
      <c r="C36" s="13" t="s">
        <v>51</v>
      </c>
      <c r="D36" s="13" t="s">
        <v>52</v>
      </c>
      <c r="E36" s="13" t="s">
        <v>53</v>
      </c>
      <c r="F36" s="13" t="s">
        <v>54</v>
      </c>
      <c r="G36" s="13" t="s">
        <v>122</v>
      </c>
      <c r="H36" s="13" t="s">
        <v>123</v>
      </c>
      <c r="I36" s="13" t="s">
        <v>124</v>
      </c>
      <c r="J36" s="13" t="s">
        <v>125</v>
      </c>
      <c r="K36" s="14"/>
      <c r="L36" s="14"/>
      <c r="M36" s="14"/>
      <c r="N36" s="14"/>
    </row>
    <row r="37" spans="1:14" x14ac:dyDescent="0.3">
      <c r="A37" t="s">
        <v>55</v>
      </c>
      <c r="B37" s="15">
        <f>INDEX(PORTFOLIO!$B$27:$B$29,MATCH(A37,PORTFOLIO!$A$27:$A$29,0))</f>
        <v>-1</v>
      </c>
      <c r="C37" s="36">
        <f>INDEX(PORTFOLIO!$C$27:$C$29,MATCH(A37,PORTFOLIO!$A$27:$A$29,0))</f>
        <v>100</v>
      </c>
      <c r="D37" s="21">
        <f>INDEX(PORTFOLIO!$D$27:$D$29,MATCH(A37,PORTFOLIO!$A$27:$A$29,0))</f>
        <v>45850</v>
      </c>
      <c r="E37" s="21">
        <f>INDEX(PORTFOLIO!$E$27:$E$29,MATCH(A37,PORTFOLIO!$A$27:$A$29,0))</f>
        <v>45875</v>
      </c>
      <c r="F37" s="25">
        <f>INDEX(PORTFOLIO!$F$27:$F$29,MATCH(A37,PORTFOLIO!$A$27:$A$29,0))</f>
        <v>2.5000000000000001E-2</v>
      </c>
      <c r="G37" s="26">
        <f>INDEX(MARKET_DATA!$E$28:$E$46,MATCH(D37,MARKET_DATA!$B$28:$B$46,0))</f>
        <v>0.99577821674138578</v>
      </c>
      <c r="H37" s="26">
        <f>INDEX(MARKET_DATA!$E$28:$E$46,MATCH(E37,MARKET_DATA!$B$28:$B$46,0))</f>
        <v>0.9941570812433087</v>
      </c>
      <c r="I37" s="25">
        <f>(G37/H37-1)/((E37-D37)/360)</f>
        <v>2.3481551972768244E-2</v>
      </c>
      <c r="J37" s="36">
        <f>B37*C37*(I37-F37)*((E37-D37)/360)*H37</f>
        <v>1.0483165685919333E-2</v>
      </c>
    </row>
    <row r="38" spans="1:14" x14ac:dyDescent="0.3">
      <c r="A38" t="s">
        <v>56</v>
      </c>
      <c r="B38" s="15">
        <f>INDEX(PORTFOLIO!$B$27:$B$29,MATCH(A38,PORTFOLIO!$A$27:$A$29,0))</f>
        <v>1</v>
      </c>
      <c r="C38" s="36">
        <f>INDEX(PORTFOLIO!$C$27:$C$29,MATCH(A38,PORTFOLIO!$A$27:$A$29,0))</f>
        <v>300</v>
      </c>
      <c r="D38" s="21">
        <f>INDEX(PORTFOLIO!$D$27:$D$29,MATCH(A38,PORTFOLIO!$A$27:$A$29,0))</f>
        <v>45889</v>
      </c>
      <c r="E38" s="21">
        <f>INDEX(PORTFOLIO!$E$27:$E$29,MATCH(A38,PORTFOLIO!$A$27:$A$29,0))</f>
        <v>45925</v>
      </c>
      <c r="F38" s="25">
        <f>INDEX(PORTFOLIO!$F$27:$F$29,MATCH(A38,PORTFOLIO!$A$27:$A$29,0))</f>
        <v>2.1999999999999999E-2</v>
      </c>
      <c r="G38" s="26">
        <f>INDEX(MARKET_DATA!$E$28:$E$46,MATCH(D38,MARKET_DATA!$B$28:$B$46,0))</f>
        <v>0.99317137861706339</v>
      </c>
      <c r="H38" s="26">
        <f>INDEX(MARKET_DATA!$E$28:$E$46,MATCH(E38,MARKET_DATA!$B$28:$B$46,0))</f>
        <v>0.99085126029940551</v>
      </c>
      <c r="I38" s="25">
        <f>(G38/H38-1)/((E38-D38)/360)</f>
        <v>2.3415404618416513E-2</v>
      </c>
      <c r="J38" s="36">
        <f>B38*C38*(I38-F38)*((E38-D38)/360)*H38</f>
        <v>4.2073663499748074E-2</v>
      </c>
    </row>
    <row r="39" spans="1:14" x14ac:dyDescent="0.3">
      <c r="A39" t="s">
        <v>57</v>
      </c>
      <c r="B39" s="15">
        <f>INDEX(PORTFOLIO!$B$27:$B$29,MATCH(A39,PORTFOLIO!$A$27:$A$29,0))</f>
        <v>-1</v>
      </c>
      <c r="C39" s="36">
        <f>INDEX(PORTFOLIO!$C$27:$C$29,MATCH(A39,PORTFOLIO!$A$27:$A$29,0))</f>
        <v>500</v>
      </c>
      <c r="D39" s="21">
        <f>INDEX(PORTFOLIO!$D$27:$D$29,MATCH(A39,PORTFOLIO!$A$27:$A$29,0))</f>
        <v>45880</v>
      </c>
      <c r="E39" s="21">
        <f>INDEX(PORTFOLIO!$E$27:$E$29,MATCH(A39,PORTFOLIO!$A$27:$A$29,0))</f>
        <v>45934</v>
      </c>
      <c r="F39" s="25">
        <f>INDEX(PORTFOLIO!$F$27:$F$29,MATCH(A39,PORTFOLIO!$A$27:$A$29,0))</f>
        <v>2.1999999999999999E-2</v>
      </c>
      <c r="G39" s="26">
        <f>INDEX(MARKET_DATA!$E$28:$E$46,MATCH(D39,MARKET_DATA!$B$28:$B$46,0))</f>
        <v>0.99379987422015703</v>
      </c>
      <c r="H39" s="26">
        <f>INDEX(MARKET_DATA!$E$28:$E$46,MATCH(E39,MARKET_DATA!$B$28:$B$46,0))</f>
        <v>0.99026662176925551</v>
      </c>
      <c r="I39" s="25">
        <f>(G39/H39-1)/((E39-D39)/360)</f>
        <v>2.3786539727309968E-2</v>
      </c>
      <c r="J39" s="36">
        <f>B39*C39*(I39-F39)*((E39-D39)/360)*H39</f>
        <v>-0.13268629953148575</v>
      </c>
    </row>
  </sheetData>
  <mergeCells count="6">
    <mergeCell ref="A27:N27"/>
    <mergeCell ref="A1:J1"/>
    <mergeCell ref="A18:G18"/>
    <mergeCell ref="A35:J35"/>
    <mergeCell ref="A4:F4"/>
    <mergeCell ref="A2:J2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showGridLines="0" workbookViewId="0">
      <selection activeCell="C18" sqref="C18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42" customWidth="1"/>
    <col min="4" max="4" width="18" customWidth="1"/>
    <col min="5" max="5" width="16" customWidth="1"/>
    <col min="6" max="6" width="12" customWidth="1"/>
  </cols>
  <sheetData>
    <row r="1" spans="1:6" x14ac:dyDescent="0.3">
      <c r="A1" s="38" t="s">
        <v>126</v>
      </c>
      <c r="B1" s="39"/>
      <c r="C1" s="39"/>
      <c r="D1" s="39"/>
      <c r="E1" s="39"/>
      <c r="F1" s="39"/>
    </row>
    <row r="2" spans="1:6" x14ac:dyDescent="0.3">
      <c r="A2" s="40" t="s">
        <v>127</v>
      </c>
      <c r="B2" s="39"/>
      <c r="C2" s="39"/>
      <c r="D2" s="39"/>
      <c r="E2" s="39"/>
      <c r="F2" s="39"/>
    </row>
    <row r="4" spans="1:6" ht="28.8" x14ac:dyDescent="0.3">
      <c r="A4" s="13" t="s">
        <v>128</v>
      </c>
      <c r="B4" s="13" t="s">
        <v>129</v>
      </c>
      <c r="C4" s="13" t="s">
        <v>130</v>
      </c>
      <c r="D4" s="15" t="s">
        <v>131</v>
      </c>
      <c r="E4" s="14"/>
      <c r="F4" s="14"/>
    </row>
    <row r="5" spans="1:6" x14ac:dyDescent="0.3">
      <c r="A5" s="15" t="s">
        <v>132</v>
      </c>
      <c r="B5" s="36">
        <f>SUM(PRICING!$G$20:$G$23)</f>
        <v>101.68910478790775</v>
      </c>
      <c r="C5" s="15" t="s">
        <v>133</v>
      </c>
      <c r="D5" s="15" t="s">
        <v>134</v>
      </c>
      <c r="E5" s="15">
        <f>1000000</f>
        <v>1000000</v>
      </c>
      <c r="F5" s="15" t="s">
        <v>135</v>
      </c>
    </row>
    <row r="6" spans="1:6" x14ac:dyDescent="0.3">
      <c r="A6" t="s">
        <v>136</v>
      </c>
      <c r="B6" s="36">
        <f>SUM(PRICING!$N$29:$N$31)</f>
        <v>4.5560509368938256</v>
      </c>
      <c r="C6" s="15" t="s">
        <v>137</v>
      </c>
      <c r="D6" t="s">
        <v>138</v>
      </c>
      <c r="E6" t="s">
        <v>139</v>
      </c>
    </row>
    <row r="7" spans="1:6" x14ac:dyDescent="0.3">
      <c r="A7" s="15" t="s">
        <v>140</v>
      </c>
      <c r="B7" s="36">
        <f>SUM(PRICING!$J$37:$J$39)</f>
        <v>-8.0129470345818354E-2</v>
      </c>
      <c r="C7" s="15" t="s">
        <v>141</v>
      </c>
      <c r="D7" t="s">
        <v>142</v>
      </c>
      <c r="E7" t="s">
        <v>143</v>
      </c>
    </row>
    <row r="8" spans="1:6" x14ac:dyDescent="0.3">
      <c r="A8" s="17" t="s">
        <v>144</v>
      </c>
      <c r="B8" s="12">
        <f>SUM(B5:B7)</f>
        <v>106.16502625445575</v>
      </c>
      <c r="C8" s="37" t="s">
        <v>145</v>
      </c>
    </row>
    <row r="10" spans="1:6" x14ac:dyDescent="0.3">
      <c r="A10" s="1" t="s">
        <v>146</v>
      </c>
      <c r="B10" s="1" t="s">
        <v>3</v>
      </c>
    </row>
    <row r="11" spans="1:6" x14ac:dyDescent="0.3">
      <c r="A11" s="15" t="s">
        <v>147</v>
      </c>
      <c r="B11" s="51">
        <v>4</v>
      </c>
    </row>
    <row r="12" spans="1:6" x14ac:dyDescent="0.3">
      <c r="A12" s="15" t="s">
        <v>148</v>
      </c>
      <c r="B12" s="52">
        <v>3</v>
      </c>
      <c r="C12" s="14"/>
      <c r="D12" s="14"/>
      <c r="E12" s="14"/>
      <c r="F12" s="14"/>
    </row>
    <row r="13" spans="1:6" x14ac:dyDescent="0.3">
      <c r="A13" s="15" t="s">
        <v>149</v>
      </c>
      <c r="B13" s="52">
        <v>3</v>
      </c>
      <c r="C13" s="14"/>
      <c r="D13" s="14"/>
      <c r="E13" s="14"/>
      <c r="F13" s="14"/>
    </row>
    <row r="14" spans="1:6" x14ac:dyDescent="0.3">
      <c r="A14" t="s">
        <v>150</v>
      </c>
      <c r="B14" t="str">
        <f>PORTFOLIO!$B$6</f>
        <v>N2</v>
      </c>
    </row>
  </sheetData>
  <mergeCells count="2">
    <mergeCell ref="A2:F2"/>
    <mergeCell ref="A1:F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PORTFOLIO</vt:lpstr>
      <vt:lpstr>MARKET_DATA</vt:lpstr>
      <vt:lpstr>PRICING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CHEMLAL Ismail</cp:lastModifiedBy>
  <dcterms:modified xsi:type="dcterms:W3CDTF">2026-03-12T15:43:53Z</dcterms:modified>
</cp:coreProperties>
</file>